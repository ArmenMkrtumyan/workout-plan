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Gym Calendar" sheetId="2" state="visible" r:id="rId2"/>
    <sheet name="Workout Details" sheetId="3" state="visible" r:id="rId3"/>
    <sheet name="Recipes Snacks" sheetId="4" state="visible" r:id="rId4"/>
    <sheet name="Meal Calendar" sheetId="5" state="visible" r:id="rId5"/>
    <sheet name="Grocery List" sheetId="6" state="visible" r:id="rId6"/>
    <sheet name="Progress Tracker" sheetId="7" state="visible" r:id="rId7"/>
    <sheet name="Rules Adjustments" sheetId="8" state="visible" r:id="rId8"/>
    <sheet name="Timing Guide" sheetId="9" state="visible" r:id="rId9"/>
  </sheets>
  <definedNames/>
</workbook>
</file>

<file path=xl/styles.xml><?xml version="1.0" encoding="utf-8"?>
<styleSheet xmlns="http://schemas.openxmlformats.org/spreadsheetml/2006/main">
  <numFmts count="2">
    <numFmt numFmtId="164" formatCode="yyyy-mm-dd"/>
    <numFmt numFmtId="165" formatCode="0.0"/>
  </numFmts>
  <fonts count="8">
    <font>
      <name val="Carlito"/>
      <sz val="11"/>
    </font>
    <font>
      <name val="Carlito"/>
      <b val="1"/>
      <color rgb="FFFFFFFF"/>
      <sz val="16"/>
    </font>
    <font>
      <name val="Carlito"/>
      <b val="1"/>
      <sz val="11"/>
    </font>
    <font>
      <name val="Carlito"/>
      <b val="1"/>
      <color rgb="FF134E4A"/>
      <sz val="11"/>
    </font>
    <font>
      <name val="Carlito"/>
      <b val="1"/>
      <color rgb="FFFFFFFF"/>
      <sz val="11"/>
    </font>
    <font>
      <name val="Carlito"/>
      <b val="1"/>
      <color rgb="FFFFFFFF"/>
      <sz val="14"/>
    </font>
    <font>
      <name val="Carlito"/>
      <b val="1"/>
      <color rgb="FF0F172A"/>
      <sz val="11"/>
    </font>
    <font>
      <name val="Carlito"/>
      <b val="1"/>
      <color rgb="FFFFFFFF"/>
      <sz val="13"/>
    </font>
  </fonts>
  <fills count="8">
    <fill>
      <patternFill/>
    </fill>
    <fill>
      <patternFill patternType="gray125"/>
    </fill>
    <fill>
      <patternFill patternType="solid">
        <fgColor rgb="FF0F766E"/>
      </patternFill>
    </fill>
    <fill>
      <patternFill patternType="solid">
        <fgColor rgb="FFF0FDFA"/>
      </patternFill>
    </fill>
    <fill>
      <patternFill patternType="solid">
        <fgColor rgb="FFCCFBF1"/>
      </patternFill>
    </fill>
    <fill>
      <patternFill patternType="solid">
        <fgColor rgb="FF134E4A"/>
      </patternFill>
    </fill>
    <fill>
      <patternFill patternType="solid">
        <fgColor rgb="FF0F766E"/>
      </patternFill>
    </fill>
    <fill>
      <patternFill patternType="solid">
        <fgColor rgb="FFCCFBF1"/>
      </patternFill>
    </fill>
  </fills>
  <borders count="2">
    <border/>
    <border/>
  </borders>
  <cellStyleXfs count="1">
    <xf numFmtId="0" fontId="0" fillId="0" borderId="1"/>
  </cellStyleXfs>
  <cellXfs count="11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2" fillId="3" borderId="0" applyAlignment="1" pivotButton="0" quotePrefix="0" xfId="0">
      <alignment horizontal="center" vertic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2" fillId="3" borderId="1" applyAlignment="1" pivotButton="0" quotePrefix="0" xfId="0">
      <alignment horizontal="center" vertical="center"/>
    </xf>
    <xf numFmtId="164" fontId="2" fillId="3" borderId="0" applyAlignment="1" pivotButton="0" quotePrefix="0" xfId="0">
      <alignment horizontal="center" vertical="center"/>
    </xf>
    <xf numFmtId="164" fontId="2" fillId="3" borderId="1" applyAlignment="1" pivotButton="0" quotePrefix="0" xfId="0">
      <alignment horizontal="center" vertical="center"/>
    </xf>
    <xf numFmtId="165" fontId="2" fillId="3" borderId="0" applyAlignment="1" pivotButton="0" quotePrefix="0" xfId="0">
      <alignment horizontal="center" vertical="center"/>
    </xf>
    <xf numFmtId="165" fontId="2" fillId="3" borderId="1" applyAlignment="1" pivotButton="0" quotePrefix="0" xfId="0">
      <alignment horizontal="center" vertical="center"/>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horizontal="center" wrapText="1"/>
    </xf>
    <xf numFmtId="0" fontId="4" fillId="5" borderId="0" applyAlignment="1" pivotButton="0" quotePrefix="0" xfId="0">
      <alignment horizontal="center" vertical="center" wrapText="1"/>
    </xf>
    <xf numFmtId="0" fontId="0" fillId="5" borderId="1"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horizontal="center" wrapText="1"/>
    </xf>
    <xf numFmtId="0" fontId="4" fillId="5" borderId="1" applyAlignment="1" pivotButton="0" quotePrefix="0" xfId="0">
      <alignment horizontal="center" vertical="center" wrapText="1"/>
    </xf>
    <xf numFmtId="165" fontId="0" fillId="0" borderId="0" applyAlignment="1" pivotButton="0" quotePrefix="0" xfId="0">
      <alignment vertical="top" wrapText="1"/>
    </xf>
    <xf numFmtId="165" fontId="0" fillId="0" borderId="1" applyAlignment="1" pivotButton="0" quotePrefix="0" xfId="0">
      <alignment vertical="top" wrapText="1"/>
    </xf>
    <xf numFmtId="164" fontId="0" fillId="0" borderId="0" pivotButton="0" quotePrefix="0" xfId="0"/>
    <xf numFmtId="164" fontId="0" fillId="0" borderId="1" pivotButton="0" quotePrefix="0" xfId="0"/>
    <xf numFmtId="164" fontId="0" fillId="0" borderId="0" applyAlignment="1" pivotButton="0" quotePrefix="0" xfId="0">
      <alignment wrapText="1"/>
    </xf>
    <xf numFmtId="164" fontId="0" fillId="0" borderId="0" applyAlignment="1" pivotButton="0" quotePrefix="0" xfId="0">
      <alignment vertical="top" wrapText="1"/>
    </xf>
    <xf numFmtId="164" fontId="0" fillId="0" borderId="1" applyAlignment="1" pivotButton="0" quotePrefix="0" xfId="0">
      <alignment wrapText="1"/>
    </xf>
    <xf numFmtId="164" fontId="0" fillId="0" borderId="1" applyAlignment="1" pivotButton="0" quotePrefix="0" xfId="0">
      <alignment vertical="top" wrapText="1"/>
    </xf>
    <xf numFmtId="0" fontId="4" fillId="2" borderId="0" pivotButton="0" quotePrefix="0" xfId="0"/>
    <xf numFmtId="0" fontId="4" fillId="2" borderId="0" applyAlignment="1" pivotButton="0" quotePrefix="0" xfId="0">
      <alignment wrapText="1"/>
    </xf>
    <xf numFmtId="0" fontId="4" fillId="2" borderId="0" applyAlignment="1" pivotButton="0" quotePrefix="0" xfId="0">
      <alignment horizontal="center" wrapText="1"/>
    </xf>
    <xf numFmtId="0" fontId="4" fillId="2" borderId="0" applyAlignment="1" pivotButton="0" quotePrefix="0" xfId="0">
      <alignment horizontal="center" vertical="center" wrapText="1"/>
    </xf>
    <xf numFmtId="0" fontId="4" fillId="2" borderId="1" pivotButton="0" quotePrefix="0" xfId="0"/>
    <xf numFmtId="0" fontId="4" fillId="2" borderId="1" applyAlignment="1" pivotButton="0" quotePrefix="0" xfId="0">
      <alignment wrapText="1"/>
    </xf>
    <xf numFmtId="0" fontId="4" fillId="2" borderId="1" applyAlignment="1" pivotButton="0" quotePrefix="0" xfId="0">
      <alignment horizontal="center" wrapText="1"/>
    </xf>
    <xf numFmtId="0" fontId="4" fillId="2" borderId="1" applyAlignment="1" pivotButton="0" quotePrefix="0" xfId="0">
      <alignment horizontal="center" vertical="center" wrapText="1"/>
    </xf>
    <xf numFmtId="1" fontId="0" fillId="0" borderId="0" pivotButton="0" quotePrefix="0" xfId="0"/>
    <xf numFmtId="1" fontId="0" fillId="0" borderId="1" pivotButton="0" quotePrefix="0" xfId="0"/>
    <xf numFmtId="1" fontId="0" fillId="0" borderId="0" applyAlignment="1" pivotButton="0" quotePrefix="0" xfId="0">
      <alignment wrapText="1"/>
    </xf>
    <xf numFmtId="1" fontId="0" fillId="0" borderId="0" applyAlignment="1" pivotButton="0" quotePrefix="0" xfId="0">
      <alignment vertical="top" wrapText="1"/>
    </xf>
    <xf numFmtId="1" fontId="0" fillId="0" borderId="1" applyAlignment="1" pivotButton="0" quotePrefix="0" xfId="0">
      <alignment wrapText="1"/>
    </xf>
    <xf numFmtId="1" fontId="0" fillId="0" borderId="1" applyAlignment="1" pivotButton="0" quotePrefix="0" xfId="0">
      <alignment vertical="top" wrapText="1"/>
    </xf>
    <xf numFmtId="165" fontId="0" fillId="0" borderId="0" pivotButton="0" quotePrefix="0" xfId="0"/>
    <xf numFmtId="165" fontId="0" fillId="0" borderId="1" pivotButton="0" quotePrefix="0" xfId="0"/>
    <xf numFmtId="165" fontId="0" fillId="0" borderId="0" applyAlignment="1" pivotButton="0" quotePrefix="0" xfId="0">
      <alignment wrapText="1"/>
    </xf>
    <xf numFmtId="165" fontId="0" fillId="0" borderId="1" applyAlignment="1" pivotButton="0" quotePrefix="0" xfId="0">
      <alignment wrapText="1"/>
    </xf>
    <xf numFmtId="0" fontId="0" fillId="0" borderId="0" pivotButton="0" quotePrefix="0" xfId="0"/>
    <xf numFmtId="0" fontId="0" fillId="6" borderId="0" pivotButton="0" quotePrefix="0" xfId="0"/>
    <xf numFmtId="0" fontId="5" fillId="6" borderId="0" pivotButton="0" quotePrefix="0" xfId="0"/>
    <xf numFmtId="0" fontId="5" fillId="6" borderId="0" applyAlignment="1" pivotButton="0" quotePrefix="0" xfId="0">
      <alignment horizontal="center"/>
    </xf>
    <xf numFmtId="0" fontId="5" fillId="6" borderId="0" applyAlignment="1" pivotButton="0" quotePrefix="0" xfId="0">
      <alignment horizontal="center" vertical="center"/>
    </xf>
    <xf numFmtId="0" fontId="0" fillId="7" borderId="0" pivotButton="0" quotePrefix="0" xfId="0"/>
    <xf numFmtId="0" fontId="6" fillId="7" borderId="0" pivotButton="0" quotePrefix="0" xfId="0"/>
    <xf numFmtId="0" fontId="6" fillId="7" borderId="0" applyAlignment="1" pivotButton="0" quotePrefix="0" xfId="0">
      <alignment wrapText="1"/>
    </xf>
    <xf numFmtId="0" fontId="6" fillId="7" borderId="0" applyAlignment="1" pivotButton="0" quotePrefix="0" xfId="0">
      <alignment horizontal="center" wrapText="1"/>
    </xf>
    <xf numFmtId="0" fontId="6" fillId="7" borderId="0" applyAlignment="1" pivotButton="0" quotePrefix="0" xfId="0">
      <alignment horizontal="center" vertical="center" wrapText="1"/>
    </xf>
    <xf numFmtId="0" fontId="5" fillId="6" borderId="0" applyAlignment="1" pivotButton="0" quotePrefix="0" xfId="0">
      <alignment horizontal="center" vertical="center" wrapText="1"/>
    </xf>
    <xf numFmtId="0" fontId="1" fillId="6" borderId="0" pivotButton="0" quotePrefix="0" xfId="0"/>
    <xf numFmtId="0" fontId="1" fillId="6" borderId="0" applyAlignment="1" pivotButton="0" quotePrefix="0" xfId="0">
      <alignment horizontal="center"/>
    </xf>
    <xf numFmtId="0" fontId="1" fillId="6" borderId="0" applyAlignment="1" pivotButton="0" quotePrefix="0" xfId="0">
      <alignment horizontal="center" vertical="center"/>
    </xf>
    <xf numFmtId="0" fontId="4" fillId="6" borderId="0" pivotButton="0" quotePrefix="0" xfId="0"/>
    <xf numFmtId="0" fontId="4" fillId="6" borderId="0" applyAlignment="1" pivotButton="0" quotePrefix="0" xfId="0">
      <alignment horizontal="left"/>
    </xf>
    <xf numFmtId="0" fontId="4" fillId="6" borderId="0" applyAlignment="1" pivotButton="0" quotePrefix="0" xfId="0">
      <alignment horizontal="left" vertical="center"/>
    </xf>
    <xf numFmtId="0" fontId="1" fillId="6" borderId="0" applyAlignment="1" pivotButton="0" quotePrefix="0" xfId="0">
      <alignment horizontal="center" vertical="center" wrapText="1"/>
    </xf>
    <xf numFmtId="0" fontId="4" fillId="6" borderId="0" applyAlignment="1" pivotButton="0" quotePrefix="0" xfId="0">
      <alignment horizontal="left" vertical="center" wrapText="1"/>
    </xf>
    <xf numFmtId="0" fontId="7" fillId="6" borderId="0" pivotButton="0" quotePrefix="0" xfId="0"/>
    <xf numFmtId="0" fontId="7" fillId="6" borderId="0" applyAlignment="1" pivotButton="0" quotePrefix="0" xfId="0">
      <alignment horizontal="center"/>
    </xf>
    <xf numFmtId="0" fontId="7" fillId="6" borderId="0" applyAlignment="1" pivotButton="0" quotePrefix="0" xfId="0">
      <alignment horizontal="center" vertical="center"/>
    </xf>
    <xf numFmtId="0" fontId="6" fillId="0" borderId="0" applyAlignment="1" pivotButton="0" quotePrefix="0" xfId="0">
      <alignment vertical="top" wrapText="1"/>
    </xf>
    <xf numFmtId="0" fontId="4" fillId="6" borderId="0" applyAlignment="1" pivotButton="0" quotePrefix="0" xfId="0">
      <alignment horizontal="center"/>
    </xf>
    <xf numFmtId="0" fontId="4" fillId="6" borderId="0" applyAlignment="1" pivotButton="0" quotePrefix="0" xfId="0">
      <alignment horizontal="center" vertical="center"/>
    </xf>
    <xf numFmtId="0" fontId="2" fillId="7" borderId="0" pivotButton="0" quotePrefix="0" xfId="0"/>
    <xf numFmtId="0" fontId="2" fillId="7" borderId="0" applyAlignment="1" pivotButton="0" quotePrefix="0" xfId="0">
      <alignment wrapText="1"/>
    </xf>
    <xf numFmtId="0" fontId="2" fillId="7" borderId="0" applyAlignment="1" pivotButton="0" quotePrefix="0" xfId="0">
      <alignment horizontal="center" wrapText="1"/>
    </xf>
    <xf numFmtId="164" fontId="2" fillId="3" borderId="0" applyAlignment="1" pivotButton="0" quotePrefix="0" xfId="0">
      <alignment horizontal="center" vertical="center"/>
    </xf>
    <xf numFmtId="165" fontId="2" fillId="3" borderId="0" applyAlignment="1" pivotButton="0" quotePrefix="0" xfId="0">
      <alignment horizontal="center" vertical="center"/>
    </xf>
    <xf numFmtId="165" fontId="0" fillId="0" borderId="0" applyAlignment="1" pivotButton="0" quotePrefix="0" xfId="0">
      <alignment vertical="top" wrapText="1"/>
    </xf>
    <xf numFmtId="0" fontId="7" fillId="6" borderId="1" applyAlignment="1" pivotButton="0" quotePrefix="0" xfId="0">
      <alignment horizontal="center" vertical="center"/>
    </xf>
    <xf numFmtId="164" fontId="0" fillId="0" borderId="0" applyAlignment="1" pivotButton="0" quotePrefix="0" xfId="0">
      <alignment vertical="top" wrapText="1"/>
    </xf>
    <xf numFmtId="1" fontId="0" fillId="0" borderId="0" applyAlignment="1" pivotButton="0" quotePrefix="0" xfId="0">
      <alignment vertical="top" wrapText="1"/>
    </xf>
    <xf numFmtId="0" fontId="5" fillId="6" borderId="1" applyAlignment="1" pivotButton="0" quotePrefix="0" xfId="0">
      <alignment horizontal="center" vertical="center" wrapText="1"/>
    </xf>
    <xf numFmtId="0" fontId="4" fillId="6" borderId="1" applyAlignment="1" pivotButton="0" quotePrefix="0" xfId="0">
      <alignment horizontal="center" vertical="center"/>
    </xf>
    <xf numFmtId="0" fontId="1" fillId="6" borderId="1" applyAlignment="1" pivotButton="0" quotePrefix="0" xfId="0">
      <alignment horizontal="center" vertical="center" wrapText="1"/>
    </xf>
  </cellXfs>
  <cellStyles count="1">
    <cellStyle name="Normal" xfId="0"/>
  </cellStyles>
  <dxfs count="4">
    <dxf>
      <font>
        <color rgb="FFB91C1C"/>
      </font>
    </dxf>
    <dxf>
      <font>
        <color rgb="FF047857"/>
      </font>
    </dxf>
    <dxf>
      <font>
        <color rgb="FFB91C1C"/>
      </font>
    </dxf>
    <dxf>
      <font>
        <color rgb="FFB91C1C"/>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layout/>
      <lineChart>
        <grouping val="standard"/>
        <varyColors val="0"/>
        <ser>
          <idx val="0"/>
          <order val="0"/>
          <tx>
            <v>Actual Weight</v>
          </tx>
          <spPr>
            <a:ln>
              <a:prstDash val="solid"/>
            </a:ln>
          </spPr>
          <marker>
            <symbol val="none"/>
            <spPr>
              <a:ln>
                <a:prstDash val="solid"/>
              </a:ln>
            </spPr>
          </marker>
          <cat>
            <strRef>
              <f>'Progress Tracker'!$A$3:$A$58</f>
              <strCache>
                <ptCount val="0"/>
              </strCache>
            </strRef>
          </cat>
          <val>
            <numRef>
              <f>'Progress Tracker'!$C$3:$C$58</f>
              <numCache>
                <formatCode>General</formatCode>
                <ptCount val="0"/>
              </numCache>
            </numRef>
          </val>
          <smooth val="0"/>
        </ser>
        <ser>
          <idx val="1"/>
          <order val="1"/>
          <tx>
            <v>Target Weight</v>
          </tx>
          <spPr>
            <a:ln>
              <a:prstDash val="solid"/>
            </a:ln>
          </spPr>
          <marker>
            <symbol val="none"/>
            <spPr>
              <a:ln>
                <a:prstDash val="solid"/>
              </a:ln>
            </spPr>
          </marker>
          <cat>
            <strRef>
              <f>'Progress Tracker'!$A$3:$A$58</f>
              <strCache>
                <ptCount val="0"/>
              </strCache>
            </strRef>
          </cat>
          <val>
            <numRef>
              <f>'Progress Tracker'!$D$3:$D$58</f>
              <numCache>
                <formatCode>General</formatCode>
                <ptCount val="0"/>
              </numCache>
            </numRef>
          </val>
          <smooth val="0"/>
        </ser>
        <dLbls>
          <showLegendKey val="0"/>
          <showVal val="0"/>
          <showCatName val="0"/>
          <showSerName val="0"/>
          <showPercent val="0"/>
          <showBubbleSize val="0"/>
          <showLeaderLines val="0"/>
        </dLbls>
        <axId val="48650112"/>
        <axId val="48672768"/>
      </line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13</col>
      <colOff>0</colOff>
      <row>1</row>
      <rowOff>0</rowOff>
    </from>
    <to>
      <col>21</col>
      <colOff>0</colOff>
      <row>20</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GymCalendarTable" displayName="GymCalendarTable" ref="A2:I58" headerRowCount="1">
  <tableColumns count="9">
    <tableColumn id="1" name="Date"/>
    <tableColumn id="2" name="Week"/>
    <tableColumn id="3" name="Day"/>
    <tableColumn id="4" name="Focus"/>
    <tableColumn id="5" name="Workout Template"/>
    <tableColumn id="6" name="Cardio"/>
    <tableColumn id="7" name="Core/Mobility"/>
    <tableColumn id="8" name="Intensity"/>
    <tableColumn id="9" name="Notes"/>
  </tableColumns>
  <tableStyleInfo name="TableStyleMedium2" showRowStripes="1"/>
</table>
</file>

<file path=xl/tables/table2.xml><?xml version="1.0" encoding="utf-8"?>
<table xmlns="http://schemas.openxmlformats.org/spreadsheetml/2006/main" id="2" name="WorkoutDetailsTable" displayName="WorkoutDetailsTable" ref="A2:J44" headerRowCount="1">
  <tableColumns count="10">
    <tableColumn id="1" name="Template"/>
    <tableColumn id="2" name="Order"/>
    <tableColumn id="3" name="Exercise"/>
    <tableColumn id="4" name="Weeks 1–2"/>
    <tableColumn id="5" name="Weeks 3–4"/>
    <tableColumn id="6" name="Weeks 5–6"/>
    <tableColumn id="7" name="Weeks 7–8"/>
    <tableColumn id="8" name="Rest"/>
    <tableColumn id="9" name="Technique cue"/>
    <tableColumn id="10" name="Substitute if busy"/>
  </tableColumns>
  <tableStyleInfo name="TableStyleMedium2" showRowStripes="1"/>
</table>
</file>

<file path=xl/tables/table3.xml><?xml version="1.0" encoding="utf-8"?>
<table xmlns="http://schemas.openxmlformats.org/spreadsheetml/2006/main" id="3" name="RecipeTable" displayName="RecipeTable" ref="A2:H16" headerRowCount="1">
  <tableColumns count="8">
    <tableColumn id="1" name="Meal Name"/>
    <tableColumn id="2" name="Calories"/>
    <tableColumn id="3" name="Protein g"/>
    <tableColumn id="4" name="Type"/>
    <tableColumn id="5" name="Ingredients"/>
    <tableColumn id="6" name="How to make"/>
    <tableColumn id="7" name="Best use"/>
    <tableColumn id="8" name="Notes"/>
  </tableColumns>
  <tableStyleInfo name="TableStyleMedium2" showRowStripes="1"/>
</table>
</file>

<file path=xl/tables/table4.xml><?xml version="1.0" encoding="utf-8"?>
<table xmlns="http://schemas.openxmlformats.org/spreadsheetml/2006/main" id="4" name="MealCalendarTable" displayName="MealCalendarTable" ref="A2:K58" headerRowCount="1">
  <tableColumns count="11">
    <tableColumn id="1" name="Date"/>
    <tableColumn id="2" name="Week"/>
    <tableColumn id="3" name="Training Day"/>
    <tableColumn id="4" name="Breakfast"/>
    <tableColumn id="5" name="Lunch"/>
    <tableColumn id="6" name="Dinner"/>
    <tableColumn id="7" name="Snack 1"/>
    <tableColumn id="8" name="Snack 2"/>
    <tableColumn id="9" name="Approx Calories"/>
    <tableColumn id="10" name="Protein g"/>
    <tableColumn id="11" name="Notes"/>
  </tableColumns>
  <tableStyleInfo name="TableStyleMedium2" showRowStripes="1"/>
</table>
</file>

<file path=xl/tables/table5.xml><?xml version="1.0" encoding="utf-8"?>
<table xmlns="http://schemas.openxmlformats.org/spreadsheetml/2006/main" id="5" name="GroceryTable" displayName="GroceryTable" ref="A2:H30" headerRowCount="1">
  <tableColumns count="8">
    <tableColumn id="1" name="Category"/>
    <tableColumn id="2" name="Item"/>
    <tableColumn id="3" name="Weekly Quantity"/>
    <tableColumn id="4" name="Target search/aisle words"/>
    <tableColumn id="5" name="Used for"/>
    <tableColumn id="6" name="Budget note"/>
    <tableColumn id="7" name="Prep note"/>
    <tableColumn id="8" name="Backup option"/>
  </tableColumns>
  <tableStyleInfo name="TableStyleMedium2" showRowStripes="1"/>
</table>
</file>

<file path=xl/tables/table6.xml><?xml version="1.0" encoding="utf-8"?>
<table xmlns="http://schemas.openxmlformats.org/spreadsheetml/2006/main" id="6" name="ProgressTable" displayName="ProgressTable" ref="A2:L58" headerRowCount="1">
  <tableColumns count="12">
    <tableColumn id="1" name="Date"/>
    <tableColumn id="2" name="Day"/>
    <tableColumn id="3" name="Weight kg"/>
    <tableColumn id="4" name="Target kg"/>
    <tableColumn id="5" name="Vs Target"/>
    <tableColumn id="6" name="Calories"/>
    <tableColumn id="7" name="Protein g"/>
    <tableColumn id="8" name="Steps"/>
    <tableColumn id="9" name="Cardio min"/>
    <tableColumn id="10" name="Training Done"/>
    <tableColumn id="11" name="Sleep hrs"/>
    <tableColumn id="12"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6.xml" Id="rId2" /></Relationships>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14" customWidth="1" style="74" min="1" max="1"/>
    <col width="20" customWidth="1" style="74" min="2" max="2"/>
    <col width="16" customWidth="1" style="74" min="3" max="3"/>
    <col width="24" customWidth="1" style="74" min="4" max="4"/>
    <col width="16" customWidth="1" style="74" min="5" max="5"/>
    <col width="28" customWidth="1" style="74" min="6" max="6"/>
    <col width="16" customWidth="1" style="74" min="7" max="7"/>
    <col width="26" customWidth="1" style="74" min="8" max="8"/>
  </cols>
  <sheetData>
    <row r="1" ht="28" customHeight="1" s="74">
      <c r="A1" s="11" t="inlineStr">
        <is>
          <t>2-Month Gym + Meal Plan — Boston / Northeastern</t>
        </is>
      </c>
      <c r="B1" s="1" t="n"/>
      <c r="C1" s="1" t="n"/>
      <c r="D1" s="1" t="n"/>
      <c r="E1" s="1" t="n"/>
      <c r="F1" s="1" t="n"/>
      <c r="G1" s="1" t="n"/>
      <c r="H1" s="1" t="n"/>
      <c r="I1" s="34" t="n"/>
      <c r="J1" s="34" t="n"/>
      <c r="K1" s="34" t="n"/>
    </row>
    <row r="2">
      <c r="A2" s="15" t="inlineStr">
        <is>
          <t>Start date</t>
        </is>
      </c>
      <c r="B2" s="102" t="n">
        <v>46189</v>
      </c>
      <c r="C2" s="102" t="inlineStr">
        <is>
          <t>End date</t>
        </is>
      </c>
      <c r="D2" s="102" t="n">
        <v>46244</v>
      </c>
      <c r="E2" s="15" t="inlineStr">
        <is>
          <t>Current kg</t>
        </is>
      </c>
      <c r="F2" s="103" t="n">
        <v>67</v>
      </c>
      <c r="G2" s="103" t="inlineStr">
        <is>
          <t>Target kg</t>
        </is>
      </c>
      <c r="H2" s="103" t="n">
        <v>63</v>
      </c>
    </row>
    <row r="4">
      <c r="A4" s="33" t="inlineStr">
        <is>
          <t>Your Targets</t>
        </is>
      </c>
      <c r="B4" s="1" t="n"/>
      <c r="C4" s="1" t="n"/>
      <c r="D4" s="1" t="n"/>
      <c r="E4" s="1" t="n"/>
      <c r="F4" s="1" t="n"/>
      <c r="G4" s="1" t="n"/>
      <c r="H4" s="1" t="n"/>
    </row>
    <row r="5">
      <c r="A5" s="35" t="inlineStr">
        <is>
          <t>Height</t>
        </is>
      </c>
      <c r="B5" s="35" t="inlineStr">
        <is>
          <t>1.67 m</t>
        </is>
      </c>
      <c r="C5" s="35" t="inlineStr">
        <is>
          <t>Plan length</t>
        </is>
      </c>
      <c r="D5" s="35" t="inlineStr">
        <is>
          <t>8 weeks</t>
        </is>
      </c>
      <c r="E5" s="35" t="inlineStr">
        <is>
          <t>Goal</t>
        </is>
      </c>
      <c r="F5" s="35" t="inlineStr">
        <is>
          <t>Lose 4 kg while regaining muscle</t>
        </is>
      </c>
      <c r="G5" s="35" t="inlineStr">
        <is>
          <t>Main method</t>
        </is>
      </c>
      <c r="H5" s="35" t="inlineStr">
        <is>
          <t>Moderate deficit + progressive lifting</t>
        </is>
      </c>
    </row>
    <row r="6">
      <c r="A6" s="35" t="inlineStr">
        <is>
          <t>Calories</t>
        </is>
      </c>
      <c r="B6" s="35" t="inlineStr">
        <is>
          <t>1,900–2,050/day</t>
        </is>
      </c>
      <c r="C6" s="35" t="inlineStr">
        <is>
          <t>Protein</t>
        </is>
      </c>
      <c r="D6" s="35" t="inlineStr">
        <is>
          <t>150–170 g/day</t>
        </is>
      </c>
      <c r="E6" s="35" t="inlineStr">
        <is>
          <t>Fat</t>
        </is>
      </c>
      <c r="F6" s="35" t="inlineStr">
        <is>
          <t>50–60 g/day</t>
        </is>
      </c>
      <c r="G6" s="35" t="inlineStr">
        <is>
          <t>Carbs</t>
        </is>
      </c>
      <c r="H6" s="35" t="inlineStr">
        <is>
          <t>180–230 g/day</t>
        </is>
      </c>
    </row>
    <row r="7">
      <c r="A7" s="35" t="inlineStr">
        <is>
          <t>Training</t>
        </is>
      </c>
      <c r="B7" s="35" t="inlineStr">
        <is>
          <t>5 days/week</t>
        </is>
      </c>
      <c r="C7" s="35" t="inlineStr">
        <is>
          <t>Cardio</t>
        </is>
      </c>
      <c r="D7" s="35" t="inlineStr">
        <is>
          <t>3–5 sessions/week</t>
        </is>
      </c>
      <c r="E7" s="35" t="inlineStr">
        <is>
          <t>Steps</t>
        </is>
      </c>
      <c r="F7" s="35" t="inlineStr">
        <is>
          <t>8,000–10,000/day</t>
        </is>
      </c>
      <c r="G7" s="35" t="inlineStr">
        <is>
          <t>Sleep</t>
        </is>
      </c>
      <c r="H7" s="35" t="inlineStr">
        <is>
          <t>7–8 hours if possible</t>
        </is>
      </c>
    </row>
    <row r="8">
      <c r="A8" s="35" t="inlineStr">
        <is>
          <t>Expected pace</t>
        </is>
      </c>
      <c r="B8" s="35" t="inlineStr">
        <is>
          <t>~0.5 kg/week</t>
        </is>
      </c>
      <c r="C8" s="35" t="inlineStr">
        <is>
          <t>Check method</t>
        </is>
      </c>
      <c r="D8" s="35" t="inlineStr">
        <is>
          <t>7-day average</t>
        </is>
      </c>
      <c r="E8" s="35" t="inlineStr">
        <is>
          <t>Adjustment</t>
        </is>
      </c>
      <c r="F8" s="35" t="inlineStr">
        <is>
          <t>Only change after 10–14 days</t>
        </is>
      </c>
      <c r="G8" s="35" t="inlineStr">
        <is>
          <t>Safety</t>
        </is>
      </c>
      <c r="H8" s="35" t="inlineStr">
        <is>
          <t>Stop if pain/dizziness</t>
        </is>
      </c>
    </row>
    <row r="10">
      <c r="A10" s="33" t="inlineStr">
        <is>
          <t>8-Week Overview</t>
        </is>
      </c>
      <c r="B10" s="1" t="n"/>
      <c r="C10" s="1" t="n"/>
      <c r="D10" s="1" t="n"/>
      <c r="E10" s="1" t="n"/>
      <c r="F10" s="1" t="n"/>
      <c r="G10" s="1" t="n"/>
      <c r="H10" s="1" t="n"/>
    </row>
    <row r="11">
      <c r="A11" s="42" t="inlineStr">
        <is>
          <t>Week</t>
        </is>
      </c>
      <c r="B11" s="42" t="inlineStr">
        <is>
          <t>Dates</t>
        </is>
      </c>
      <c r="C11" s="42" t="inlineStr">
        <is>
          <t>Target kg</t>
        </is>
      </c>
      <c r="D11" s="42" t="inlineStr">
        <is>
          <t>Training focus</t>
        </is>
      </c>
      <c r="E11" s="42" t="inlineStr">
        <is>
          <t>Cardio goal</t>
        </is>
      </c>
      <c r="F11" s="42" t="inlineStr">
        <is>
          <t>Nutrition focus</t>
        </is>
      </c>
      <c r="G11" s="42" t="inlineStr">
        <is>
          <t>Weekly check-in</t>
        </is>
      </c>
      <c r="H11" s="42" t="inlineStr">
        <is>
          <t>Notes</t>
        </is>
      </c>
    </row>
    <row r="12">
      <c r="A12" s="35" t="n">
        <v>1</v>
      </c>
      <c r="B12" s="35" t="inlineStr">
        <is>
          <t>Jun 16–Jun 22</t>
        </is>
      </c>
      <c r="C12" s="104" t="n">
        <v>66.5</v>
      </c>
      <c r="D12" s="35" t="inlineStr">
        <is>
          <t>Re-entry: technique + moderate volume</t>
        </is>
      </c>
      <c r="E12" s="35" t="inlineStr">
        <is>
          <t>3 x 20–25 min incline walk</t>
        </is>
      </c>
      <c r="F12" s="35" t="inlineStr">
        <is>
          <t>Hit protein, learn portions</t>
        </is>
      </c>
      <c r="G12" s="35" t="inlineStr">
        <is>
          <t>Weigh 3–7x; use average</t>
        </is>
      </c>
      <c r="H12" s="35" t="inlineStr">
        <is>
          <t>Keep 2–3 reps in reserve</t>
        </is>
      </c>
    </row>
    <row r="13">
      <c r="A13" s="35" t="n">
        <v>2</v>
      </c>
      <c r="B13" s="35" t="inlineStr">
        <is>
          <t>Jun 23–Jun 29</t>
        </is>
      </c>
      <c r="C13" s="104" t="n">
        <v>66</v>
      </c>
      <c r="D13" s="35" t="inlineStr">
        <is>
          <t>Re-entry: technique + moderate volume</t>
        </is>
      </c>
      <c r="E13" s="35" t="inlineStr">
        <is>
          <t>3 x 20–25 min incline walk</t>
        </is>
      </c>
      <c r="F13" s="35" t="inlineStr">
        <is>
          <t>Hit protein, learn portions</t>
        </is>
      </c>
      <c r="G13" s="35" t="inlineStr">
        <is>
          <t>Weigh 3–7x; use average</t>
        </is>
      </c>
      <c r="H13" s="35" t="inlineStr">
        <is>
          <t>Keep 2–3 reps in reserve</t>
        </is>
      </c>
    </row>
    <row r="14">
      <c r="A14" s="35" t="n">
        <v>3</v>
      </c>
      <c r="B14" s="35" t="inlineStr">
        <is>
          <t>Jun 30–Jul 6</t>
        </is>
      </c>
      <c r="C14" s="104" t="n">
        <v>65.5</v>
      </c>
      <c r="D14" s="35" t="inlineStr">
        <is>
          <t>Build: progressive overload</t>
        </is>
      </c>
      <c r="E14" s="35" t="inlineStr">
        <is>
          <t>4 x 25–35 min</t>
        </is>
      </c>
      <c r="F14" s="35" t="inlineStr">
        <is>
          <t>Keep calories steady</t>
        </is>
      </c>
      <c r="G14" s="35" t="inlineStr">
        <is>
          <t>Weigh 3–7x; use average</t>
        </is>
      </c>
      <c r="H14" s="35" t="inlineStr">
        <is>
          <t>Add weight or reps weekly</t>
        </is>
      </c>
    </row>
    <row r="15">
      <c r="A15" s="35" t="n">
        <v>4</v>
      </c>
      <c r="B15" s="35" t="inlineStr">
        <is>
          <t>Jul 7–Jul 13</t>
        </is>
      </c>
      <c r="C15" s="104" t="n">
        <v>65</v>
      </c>
      <c r="D15" s="35" t="inlineStr">
        <is>
          <t>Build: progressive overload</t>
        </is>
      </c>
      <c r="E15" s="35" t="inlineStr">
        <is>
          <t>4 x 25–35 min</t>
        </is>
      </c>
      <c r="F15" s="35" t="inlineStr">
        <is>
          <t>Keep calories steady</t>
        </is>
      </c>
      <c r="G15" s="35" t="inlineStr">
        <is>
          <t>Weigh 3–7x; use average</t>
        </is>
      </c>
      <c r="H15" s="35" t="inlineStr">
        <is>
          <t>Add weight or reps weekly</t>
        </is>
      </c>
    </row>
    <row r="16">
      <c r="A16" s="35" t="n">
        <v>5</v>
      </c>
      <c r="B16" s="35" t="inlineStr">
        <is>
          <t>Jul 14–Jul 20</t>
        </is>
      </c>
      <c r="C16" s="104" t="n">
        <v>64.5</v>
      </c>
      <c r="D16" s="35" t="inlineStr">
        <is>
          <t>Peak: strongest training weeks</t>
        </is>
      </c>
      <c r="E16" s="35" t="inlineStr">
        <is>
          <t>4 x 30–40 min</t>
        </is>
      </c>
      <c r="F16" s="35" t="inlineStr">
        <is>
          <t>Tighten snacks/oil portions</t>
        </is>
      </c>
      <c r="G16" s="35" t="inlineStr">
        <is>
          <t>Weigh 3–7x; use average</t>
        </is>
      </c>
      <c r="H16" s="35" t="inlineStr">
        <is>
          <t>Last sets can reach RPE 8–9</t>
        </is>
      </c>
    </row>
    <row r="17">
      <c r="A17" s="35" t="n">
        <v>6</v>
      </c>
      <c r="B17" s="35" t="inlineStr">
        <is>
          <t>Jul 21–Jul 27</t>
        </is>
      </c>
      <c r="C17" s="104" t="n">
        <v>64</v>
      </c>
      <c r="D17" s="35" t="inlineStr">
        <is>
          <t>Peak: strongest training weeks</t>
        </is>
      </c>
      <c r="E17" s="35" t="inlineStr">
        <is>
          <t>4 x 30–40 min</t>
        </is>
      </c>
      <c r="F17" s="35" t="inlineStr">
        <is>
          <t>Tighten snacks/oil portions</t>
        </is>
      </c>
      <c r="G17" s="35" t="inlineStr">
        <is>
          <t>Weigh 3–7x; use average</t>
        </is>
      </c>
      <c r="H17" s="35" t="inlineStr">
        <is>
          <t>Last sets can reach RPE 8–9</t>
        </is>
      </c>
    </row>
    <row r="18">
      <c r="A18" s="35" t="n">
        <v>7</v>
      </c>
      <c r="B18" s="35" t="inlineStr">
        <is>
          <t>Jul 28–Aug 3</t>
        </is>
      </c>
      <c r="C18" s="104" t="n">
        <v>63.5</v>
      </c>
      <c r="D18" s="35" t="inlineStr">
        <is>
          <t>Sharpen: maintain strength, slightly more cardio</t>
        </is>
      </c>
      <c r="E18" s="35" t="inlineStr">
        <is>
          <t>4–5 x 35–45 min</t>
        </is>
      </c>
      <c r="F18" s="35" t="inlineStr">
        <is>
          <t>Strict weekdays, flexible 1 meal/week</t>
        </is>
      </c>
      <c r="G18" s="35" t="inlineStr">
        <is>
          <t>Weigh 3–7x; use average</t>
        </is>
      </c>
      <c r="H18" s="35" t="inlineStr">
        <is>
          <t>Do not crash diet</t>
        </is>
      </c>
    </row>
    <row r="19">
      <c r="A19" s="35" t="n">
        <v>8</v>
      </c>
      <c r="B19" s="35" t="inlineStr">
        <is>
          <t>Aug 4–Aug 10</t>
        </is>
      </c>
      <c r="C19" s="104" t="n">
        <v>63</v>
      </c>
      <c r="D19" s="35" t="inlineStr">
        <is>
          <t>Sharpen: maintain strength, slightly more cardio</t>
        </is>
      </c>
      <c r="E19" s="35" t="inlineStr">
        <is>
          <t>4–5 x 35–45 min</t>
        </is>
      </c>
      <c r="F19" s="35" t="inlineStr">
        <is>
          <t>Strict weekdays, flexible 1 meal/week</t>
        </is>
      </c>
      <c r="G19" s="35" t="inlineStr">
        <is>
          <t>Weigh 3–7x; use average</t>
        </is>
      </c>
      <c r="H19" s="35" t="inlineStr">
        <is>
          <t>Do not crash diet</t>
        </is>
      </c>
    </row>
    <row r="22">
      <c r="A22" s="33" t="inlineStr">
        <is>
          <t>Daily Non-Negotiables</t>
        </is>
      </c>
      <c r="B22" s="1" t="n"/>
      <c r="C22" s="1" t="n"/>
      <c r="D22" s="1" t="n"/>
      <c r="E22" s="1" t="n"/>
      <c r="F22" s="1" t="n"/>
      <c r="G22" s="1" t="n"/>
      <c r="H22" s="1" t="n"/>
    </row>
    <row r="23">
      <c r="A23" s="35" t="inlineStr">
        <is>
          <t>1</t>
        </is>
      </c>
      <c r="B23" s="35" t="inlineStr">
        <is>
          <t>Protein first: every meal should have a clear protein source.</t>
        </is>
      </c>
    </row>
    <row r="24">
      <c r="A24" s="35" t="inlineStr">
        <is>
          <t>2</t>
        </is>
      </c>
      <c r="B24" s="35" t="inlineStr">
        <is>
          <t>Do not drink calories except protein shakes. Water, coffee, tea, zero-calorie drinks are fine.</t>
        </is>
      </c>
    </row>
    <row r="25">
      <c r="A25" s="35" t="inlineStr">
        <is>
          <t>3</t>
        </is>
      </c>
      <c r="B25" s="35" t="inlineStr">
        <is>
          <t>Measure calorie-dense foods: oil, peanut butter, nuts, cheese, sauces.</t>
        </is>
      </c>
    </row>
    <row r="26">
      <c r="A26" s="35" t="inlineStr">
        <is>
          <t>4</t>
        </is>
      </c>
      <c r="B26" s="35" t="inlineStr">
        <is>
          <t>Lift before long cardio when both are on the same day.</t>
        </is>
      </c>
    </row>
    <row r="27">
      <c r="A27" s="35" t="inlineStr">
        <is>
          <t>5</t>
        </is>
      </c>
      <c r="B27" s="35" t="inlineStr">
        <is>
          <t>If you miss a day, do not punish yourself. Continue with the next scheduled workout.</t>
        </is>
      </c>
    </row>
    <row r="28">
      <c r="A28" s="105" t="inlineStr">
        <is>
          <t>Daily Meal Timing — Based on 4:00 AM Wake-Up</t>
        </is>
      </c>
      <c r="B28" s="1" t="n"/>
      <c r="C28" s="1" t="n"/>
      <c r="D28" s="1" t="n"/>
      <c r="E28" s="1" t="n"/>
      <c r="F28" s="1" t="n"/>
      <c r="G28" s="1" t="n"/>
      <c r="H28" s="1" t="n"/>
    </row>
    <row r="29">
      <c r="A29" s="96" t="inlineStr">
        <is>
          <t>4:00 AM</t>
        </is>
      </c>
      <c r="B29" s="35" t="inlineStr">
        <is>
          <t>Wake + water/coffee</t>
        </is>
      </c>
      <c r="C29" s="96" t="inlineStr">
        <is>
          <t>8:30 AM</t>
        </is>
      </c>
      <c r="D29" s="35" t="inlineStr">
        <is>
          <t>Meal 1 / pre-workout breakfast</t>
        </is>
      </c>
      <c r="E29" s="96" t="inlineStr">
        <is>
          <t>9:45–11:00 AM</t>
        </is>
      </c>
      <c r="F29" s="35" t="inlineStr">
        <is>
          <t>Gym</t>
        </is>
      </c>
      <c r="G29" s="96" t="inlineStr">
        <is>
          <t>12:00 PM</t>
        </is>
      </c>
      <c r="H29" s="35" t="inlineStr">
        <is>
          <t>Meal 2 / post-workout lunch</t>
        </is>
      </c>
    </row>
    <row r="30">
      <c r="A30" s="96" t="inlineStr">
        <is>
          <t>3:30 PM</t>
        </is>
      </c>
      <c r="B30" s="35" t="inlineStr">
        <is>
          <t>Snack</t>
        </is>
      </c>
      <c r="C30" s="96" t="inlineStr">
        <is>
          <t>7:00 PM</t>
        </is>
      </c>
      <c r="D30" s="35" t="inlineStr">
        <is>
          <t>Meal 3 / dinner</t>
        </is>
      </c>
      <c r="E30" s="96" t="inlineStr">
        <is>
          <t>9:15–9:45 PM</t>
        </is>
      </c>
      <c r="F30" s="35" t="inlineStr">
        <is>
          <t>Sleep prep</t>
        </is>
      </c>
      <c r="G30" s="96" t="inlineStr">
        <is>
          <t>Optional</t>
        </is>
      </c>
      <c r="H30" s="35" t="inlineStr">
        <is>
          <t>Small protein snack only if protein is low</t>
        </is>
      </c>
    </row>
    <row r="31">
      <c r="A31" s="96" t="inlineStr">
        <is>
          <t>Rule</t>
        </is>
      </c>
      <c r="B31" s="35" t="inlineStr">
        <is>
          <t>Pre-workout meal 60–120 min before lifting</t>
        </is>
      </c>
      <c r="C31" s="96" t="inlineStr">
        <is>
          <t>Rule</t>
        </is>
      </c>
      <c r="D31" s="35" t="inlineStr">
        <is>
          <t>Post-workout meal within 1–2h</t>
        </is>
      </c>
      <c r="E31" s="96" t="inlineStr">
        <is>
          <t>Rule</t>
        </is>
      </c>
      <c r="F31" s="35" t="inlineStr">
        <is>
          <t>Do not force food at 4 AM</t>
        </is>
      </c>
      <c r="G31" s="96" t="inlineStr">
        <is>
          <t>Rule</t>
        </is>
      </c>
      <c r="H31" s="35" t="inlineStr">
        <is>
          <t>Total calories/protein matter most</t>
        </is>
      </c>
    </row>
    <row r="32">
      <c r="A32" s="35" t="str"/>
      <c r="B32" s="35" t="str"/>
      <c r="C32" s="35" t="str"/>
      <c r="D32" s="35" t="str"/>
      <c r="E32" s="35" t="str"/>
      <c r="F32" s="35" t="str"/>
      <c r="G32" s="35" t="str"/>
      <c r="H32" s="35" t="str"/>
    </row>
    <row r="33">
      <c r="A33" s="96" t="inlineStr">
        <is>
          <t>If gym shifts later</t>
        </is>
      </c>
      <c r="B33" s="35" t="inlineStr">
        <is>
          <t>Breakfast 8:30; lunch 12:30; snack 60–90 min pre-gym; dinner after gym</t>
        </is>
      </c>
      <c r="C33" s="35" t="str"/>
      <c r="D33" s="35" t="str"/>
      <c r="E33" s="35" t="str"/>
      <c r="F33" s="35" t="str"/>
      <c r="G33" s="35" t="str"/>
      <c r="H33" s="35" t="str"/>
    </row>
    <row r="34">
      <c r="A34" s="96" t="inlineStr">
        <is>
          <t>If very hungry at 4 AM</t>
        </is>
      </c>
      <c r="B34" s="35" t="inlineStr">
        <is>
          <t>Greek yogurt OR banana OR 1/2 scoop whey; keep under ~150 kcal</t>
        </is>
      </c>
      <c r="C34" s="35" t="str"/>
      <c r="D34" s="35" t="str"/>
      <c r="E34" s="35" t="str"/>
      <c r="F34" s="35" t="str"/>
      <c r="G34" s="35" t="str"/>
      <c r="H34" s="35" t="str"/>
    </row>
    <row r="35">
      <c r="A35" s="96" t="inlineStr">
        <is>
          <t>See also</t>
        </is>
      </c>
      <c r="B35" s="35" t="inlineStr">
        <is>
          <t>Timing Guide sheet and Meal Calendar columns L:R</t>
        </is>
      </c>
      <c r="C35" s="35" t="str"/>
      <c r="D35" s="35" t="str"/>
      <c r="E35" s="35" t="str"/>
      <c r="F35" s="35" t="str"/>
      <c r="G35" s="35" t="str"/>
      <c r="H35" s="35" t="str"/>
    </row>
  </sheetData>
  <mergeCells count="5">
    <mergeCell ref="A4:H4"/>
    <mergeCell ref="A10:H10"/>
    <mergeCell ref="A28:H28"/>
    <mergeCell ref="A1:H1"/>
    <mergeCell ref="A22:H2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12" customWidth="1" style="74" min="1" max="1"/>
    <col width="8" customWidth="1" style="74" min="2" max="2"/>
    <col width="12" customWidth="1" style="74" min="3" max="3"/>
    <col width="16" customWidth="1" style="74" min="4" max="4"/>
    <col width="18" customWidth="1" style="74" min="5" max="5"/>
    <col width="34" customWidth="1" style="74" min="6" max="6"/>
    <col width="24" customWidth="1" style="74" min="7" max="7"/>
    <col width="32" customWidth="1" style="74" min="8" max="8"/>
    <col width="32" customWidth="1" style="74" min="9" max="9"/>
  </cols>
  <sheetData>
    <row r="1" ht="28" customHeight="1" s="74">
      <c r="A1" s="11" t="inlineStr">
        <is>
          <t>8-Week Gym Calendar</t>
        </is>
      </c>
      <c r="B1" s="1" t="n"/>
      <c r="C1" s="1" t="n"/>
      <c r="D1" s="1" t="n"/>
      <c r="E1" s="1" t="n"/>
      <c r="F1" s="1" t="n"/>
      <c r="G1" s="1" t="n"/>
      <c r="H1" s="1" t="n"/>
      <c r="I1" s="1" t="n"/>
      <c r="J1" s="34" t="n"/>
      <c r="K1" s="34" t="n"/>
    </row>
    <row r="2">
      <c r="A2" s="42" t="inlineStr">
        <is>
          <t>Date</t>
        </is>
      </c>
      <c r="B2" s="42" t="inlineStr">
        <is>
          <t>Week</t>
        </is>
      </c>
      <c r="C2" s="42" t="inlineStr">
        <is>
          <t>Day</t>
        </is>
      </c>
      <c r="D2" s="42" t="inlineStr">
        <is>
          <t>Focus</t>
        </is>
      </c>
      <c r="E2" s="42" t="inlineStr">
        <is>
          <t>Workout Template</t>
        </is>
      </c>
      <c r="F2" s="42" t="inlineStr">
        <is>
          <t>Cardio</t>
        </is>
      </c>
      <c r="G2" s="42" t="inlineStr">
        <is>
          <t>Core/Mobility</t>
        </is>
      </c>
      <c r="H2" s="42" t="inlineStr">
        <is>
          <t>Intensity</t>
        </is>
      </c>
      <c r="I2" s="42" t="inlineStr">
        <is>
          <t>Notes</t>
        </is>
      </c>
    </row>
    <row r="3">
      <c r="A3" s="106" t="n">
        <v>46189</v>
      </c>
      <c r="B3" s="35" t="n">
        <v>1</v>
      </c>
      <c r="C3" s="35" t="inlineStr">
        <is>
          <t>Tuesday</t>
        </is>
      </c>
      <c r="D3" s="35" t="inlineStr">
        <is>
          <t>Push</t>
        </is>
      </c>
      <c r="E3" s="35" t="inlineStr">
        <is>
          <t>Push A</t>
        </is>
      </c>
      <c r="F3" s="35" t="inlineStr">
        <is>
          <t>20 min incline walk, 8–10% incline</t>
        </is>
      </c>
      <c r="G3" s="35" t="inlineStr">
        <is>
          <t>Shoulder warm-up</t>
        </is>
      </c>
      <c r="H3" s="35" t="inlineStr">
        <is>
          <t>RPE 6–7; leave 2–3 reps in reserve</t>
        </is>
      </c>
      <c r="I3" s="35" t="inlineStr">
        <is>
          <t>Chest/shoulders/triceps</t>
        </is>
      </c>
    </row>
    <row r="4">
      <c r="A4" s="106" t="n">
        <v>46190</v>
      </c>
      <c r="B4" s="35" t="n">
        <v>1</v>
      </c>
      <c r="C4" s="35" t="inlineStr">
        <is>
          <t>Wednesday</t>
        </is>
      </c>
      <c r="D4" s="35" t="inlineStr">
        <is>
          <t>Pull</t>
        </is>
      </c>
      <c r="E4" s="35" t="inlineStr">
        <is>
          <t>Pull A</t>
        </is>
      </c>
      <c r="F4" s="35" t="inlineStr">
        <is>
          <t>Optional 15–20 min easy walk</t>
        </is>
      </c>
      <c r="G4" s="35" t="inlineStr">
        <is>
          <t>Upper-back mobility</t>
        </is>
      </c>
      <c r="H4" s="35" t="inlineStr">
        <is>
          <t>RPE 6–7; leave 2–3 reps in reserve</t>
        </is>
      </c>
      <c r="I4" s="35" t="inlineStr">
        <is>
          <t>Back/biceps/rear delts</t>
        </is>
      </c>
    </row>
    <row r="5">
      <c r="A5" s="106" t="n">
        <v>46191</v>
      </c>
      <c r="B5" s="35" t="n">
        <v>1</v>
      </c>
      <c r="C5" s="35" t="inlineStr">
        <is>
          <t>Thursday</t>
        </is>
      </c>
      <c r="D5" s="35" t="inlineStr">
        <is>
          <t>Legs</t>
        </is>
      </c>
      <c r="E5" s="35" t="inlineStr">
        <is>
          <t>Legs A</t>
        </is>
      </c>
      <c r="F5" s="35" t="inlineStr">
        <is>
          <t>No hard cardio</t>
        </is>
      </c>
      <c r="G5" s="35" t="inlineStr">
        <is>
          <t>Core: plank + knee raises</t>
        </is>
      </c>
      <c r="H5" s="35" t="inlineStr">
        <is>
          <t>RPE 6–7; leave 2–3 reps in reserve</t>
        </is>
      </c>
      <c r="I5" s="35" t="inlineStr">
        <is>
          <t>Main leg strength day</t>
        </is>
      </c>
    </row>
    <row r="6">
      <c r="A6" s="106" t="n">
        <v>46192</v>
      </c>
      <c r="B6" s="35" t="n">
        <v>1</v>
      </c>
      <c r="C6" s="35" t="inlineStr">
        <is>
          <t>Friday</t>
        </is>
      </c>
      <c r="D6" s="35" t="inlineStr">
        <is>
          <t>Upper</t>
        </is>
      </c>
      <c r="E6" s="35" t="inlineStr">
        <is>
          <t>Upper Mixed</t>
        </is>
      </c>
      <c r="F6" s="35" t="inlineStr">
        <is>
          <t>20 min incline walk, 8–10% incline</t>
        </is>
      </c>
      <c r="G6" s="35" t="inlineStr">
        <is>
          <t>Band pull-aparts</t>
        </is>
      </c>
      <c r="H6" s="35" t="inlineStr">
        <is>
          <t>RPE 6–7; leave 2–3 reps in reserve</t>
        </is>
      </c>
      <c r="I6" s="35" t="inlineStr">
        <is>
          <t>Second upper-body stimulus</t>
        </is>
      </c>
    </row>
    <row r="7">
      <c r="A7" s="106" t="n">
        <v>46193</v>
      </c>
      <c r="B7" s="35" t="n">
        <v>1</v>
      </c>
      <c r="C7" s="35" t="inlineStr">
        <is>
          <t>Saturday</t>
        </is>
      </c>
      <c r="D7" s="35" t="inlineStr">
        <is>
          <t>Lower + Core</t>
        </is>
      </c>
      <c r="E7" s="35" t="inlineStr">
        <is>
          <t>Lower B</t>
        </is>
      </c>
      <c r="F7" s="35" t="inlineStr">
        <is>
          <t>Optional 15 min easy walk</t>
        </is>
      </c>
      <c r="G7" s="35" t="inlineStr">
        <is>
          <t>Core circuit</t>
        </is>
      </c>
      <c r="H7" s="35" t="inlineStr">
        <is>
          <t>RPE 6–7; leave 2–3 reps in reserve</t>
        </is>
      </c>
      <c r="I7" s="35" t="inlineStr">
        <is>
          <t>Posterior chain + unilateral legs</t>
        </is>
      </c>
    </row>
    <row r="8">
      <c r="A8" s="106" t="n">
        <v>46194</v>
      </c>
      <c r="B8" s="35" t="n">
        <v>1</v>
      </c>
      <c r="C8" s="35" t="inlineStr">
        <is>
          <t>Sunday</t>
        </is>
      </c>
      <c r="D8" s="35" t="inlineStr">
        <is>
          <t>Active Recovery</t>
        </is>
      </c>
      <c r="E8" s="35" t="inlineStr">
        <is>
          <t>Conditioning + Mobility</t>
        </is>
      </c>
      <c r="F8" s="35" t="inlineStr">
        <is>
          <t>Long walk 45–60 min (or easy bike); 8k–10k steps</t>
        </is>
      </c>
      <c r="G8" s="35" t="inlineStr">
        <is>
          <t>Full-body mobility</t>
        </is>
      </c>
      <c r="H8" s="35" t="inlineStr">
        <is>
          <t>RPE 6–7; leave 2–3 reps in reserve</t>
        </is>
      </c>
      <c r="I8" s="35" t="inlineStr">
        <is>
          <t>Longer walk + optional light arm pump; no heavy lifting</t>
        </is>
      </c>
    </row>
    <row r="9">
      <c r="A9" s="106" t="n">
        <v>46195</v>
      </c>
      <c r="B9" s="35" t="n">
        <v>1</v>
      </c>
      <c r="C9" s="35" t="inlineStr">
        <is>
          <t>Monday</t>
        </is>
      </c>
      <c r="D9" s="35" t="inlineStr">
        <is>
          <t>Rest</t>
        </is>
      </c>
      <c r="E9" s="35" t="inlineStr">
        <is>
          <t>Recovery</t>
        </is>
      </c>
      <c r="F9" s="35" t="inlineStr">
        <is>
          <t>Walk outside; aim 8k–10k steps</t>
        </is>
      </c>
      <c r="G9" s="35" t="inlineStr">
        <is>
          <t>Stretch 10 min</t>
        </is>
      </c>
      <c r="H9" s="35" t="inlineStr">
        <is>
          <t>RPE 6–7; leave 2–3 reps in reserve</t>
        </is>
      </c>
      <c r="I9" s="35" t="inlineStr">
        <is>
          <t>No heavy lifting</t>
        </is>
      </c>
    </row>
    <row r="10">
      <c r="A10" s="106" t="n">
        <v>46196</v>
      </c>
      <c r="B10" s="35" t="n">
        <v>2</v>
      </c>
      <c r="C10" s="35" t="inlineStr">
        <is>
          <t>Tuesday</t>
        </is>
      </c>
      <c r="D10" s="35" t="inlineStr">
        <is>
          <t>Push</t>
        </is>
      </c>
      <c r="E10" s="35" t="inlineStr">
        <is>
          <t>Push A</t>
        </is>
      </c>
      <c r="F10" s="35" t="inlineStr">
        <is>
          <t>20 min incline walk, 8–10% incline</t>
        </is>
      </c>
      <c r="G10" s="35" t="inlineStr">
        <is>
          <t>Shoulder warm-up</t>
        </is>
      </c>
      <c r="H10" s="35" t="inlineStr">
        <is>
          <t>RPE 6–7; leave 2–3 reps in reserve</t>
        </is>
      </c>
      <c r="I10" s="35" t="inlineStr">
        <is>
          <t>Chest/shoulders/triceps</t>
        </is>
      </c>
    </row>
    <row r="11">
      <c r="A11" s="106" t="n">
        <v>46197</v>
      </c>
      <c r="B11" s="35" t="n">
        <v>2</v>
      </c>
      <c r="C11" s="35" t="inlineStr">
        <is>
          <t>Wednesday</t>
        </is>
      </c>
      <c r="D11" s="35" t="inlineStr">
        <is>
          <t>Pull</t>
        </is>
      </c>
      <c r="E11" s="35" t="inlineStr">
        <is>
          <t>Pull A</t>
        </is>
      </c>
      <c r="F11" s="35" t="inlineStr">
        <is>
          <t>Optional 15–20 min easy walk</t>
        </is>
      </c>
      <c r="G11" s="35" t="inlineStr">
        <is>
          <t>Upper-back mobility</t>
        </is>
      </c>
      <c r="H11" s="35" t="inlineStr">
        <is>
          <t>RPE 6–7; leave 2–3 reps in reserve</t>
        </is>
      </c>
      <c r="I11" s="35" t="inlineStr">
        <is>
          <t>Back/biceps/rear delts</t>
        </is>
      </c>
    </row>
    <row r="12">
      <c r="A12" s="106" t="n">
        <v>46198</v>
      </c>
      <c r="B12" s="35" t="n">
        <v>2</v>
      </c>
      <c r="C12" s="35" t="inlineStr">
        <is>
          <t>Thursday</t>
        </is>
      </c>
      <c r="D12" s="35" t="inlineStr">
        <is>
          <t>Legs</t>
        </is>
      </c>
      <c r="E12" s="35" t="inlineStr">
        <is>
          <t>Legs A</t>
        </is>
      </c>
      <c r="F12" s="35" t="inlineStr">
        <is>
          <t>No hard cardio</t>
        </is>
      </c>
      <c r="G12" s="35" t="inlineStr">
        <is>
          <t>Core: plank + knee raises</t>
        </is>
      </c>
      <c r="H12" s="35" t="inlineStr">
        <is>
          <t>RPE 6–7; leave 2–3 reps in reserve</t>
        </is>
      </c>
      <c r="I12" s="35" t="inlineStr">
        <is>
          <t>Main leg strength day</t>
        </is>
      </c>
    </row>
    <row r="13">
      <c r="A13" s="106" t="n">
        <v>46199</v>
      </c>
      <c r="B13" s="35" t="n">
        <v>2</v>
      </c>
      <c r="C13" s="35" t="inlineStr">
        <is>
          <t>Friday</t>
        </is>
      </c>
      <c r="D13" s="35" t="inlineStr">
        <is>
          <t>Upper</t>
        </is>
      </c>
      <c r="E13" s="35" t="inlineStr">
        <is>
          <t>Upper Mixed</t>
        </is>
      </c>
      <c r="F13" s="35" t="inlineStr">
        <is>
          <t>20 min incline walk, 8–10% incline</t>
        </is>
      </c>
      <c r="G13" s="35" t="inlineStr">
        <is>
          <t>Band pull-aparts</t>
        </is>
      </c>
      <c r="H13" s="35" t="inlineStr">
        <is>
          <t>RPE 6–7; leave 2–3 reps in reserve</t>
        </is>
      </c>
      <c r="I13" s="35" t="inlineStr">
        <is>
          <t>Second upper-body stimulus</t>
        </is>
      </c>
    </row>
    <row r="14">
      <c r="A14" s="106" t="n">
        <v>46200</v>
      </c>
      <c r="B14" s="35" t="n">
        <v>2</v>
      </c>
      <c r="C14" s="35" t="inlineStr">
        <is>
          <t>Saturday</t>
        </is>
      </c>
      <c r="D14" s="35" t="inlineStr">
        <is>
          <t>Lower + Core</t>
        </is>
      </c>
      <c r="E14" s="35" t="inlineStr">
        <is>
          <t>Lower B</t>
        </is>
      </c>
      <c r="F14" s="35" t="inlineStr">
        <is>
          <t>Optional 15 min easy walk</t>
        </is>
      </c>
      <c r="G14" s="35" t="inlineStr">
        <is>
          <t>Core circuit</t>
        </is>
      </c>
      <c r="H14" s="35" t="inlineStr">
        <is>
          <t>RPE 6–7; leave 2–3 reps in reserve</t>
        </is>
      </c>
      <c r="I14" s="35" t="inlineStr">
        <is>
          <t>Posterior chain + unilateral legs</t>
        </is>
      </c>
    </row>
    <row r="15">
      <c r="A15" s="106" t="n">
        <v>46201</v>
      </c>
      <c r="B15" s="35" t="n">
        <v>2</v>
      </c>
      <c r="C15" s="35" t="inlineStr">
        <is>
          <t>Sunday</t>
        </is>
      </c>
      <c r="D15" s="35" t="inlineStr">
        <is>
          <t>Active Recovery</t>
        </is>
      </c>
      <c r="E15" s="35" t="inlineStr">
        <is>
          <t>Conditioning + Mobility</t>
        </is>
      </c>
      <c r="F15" s="35" t="inlineStr">
        <is>
          <t>Long walk 45–60 min (or easy bike); 8k–10k steps</t>
        </is>
      </c>
      <c r="G15" s="35" t="inlineStr">
        <is>
          <t>Full-body mobility</t>
        </is>
      </c>
      <c r="H15" s="35" t="inlineStr">
        <is>
          <t>RPE 6–7; leave 2–3 reps in reserve</t>
        </is>
      </c>
      <c r="I15" s="35" t="inlineStr">
        <is>
          <t>Longer walk + optional light arm pump; no heavy lifting</t>
        </is>
      </c>
    </row>
    <row r="16">
      <c r="A16" s="106" t="n">
        <v>46202</v>
      </c>
      <c r="B16" s="35" t="n">
        <v>2</v>
      </c>
      <c r="C16" s="35" t="inlineStr">
        <is>
          <t>Monday</t>
        </is>
      </c>
      <c r="D16" s="35" t="inlineStr">
        <is>
          <t>Rest</t>
        </is>
      </c>
      <c r="E16" s="35" t="inlineStr">
        <is>
          <t>Recovery</t>
        </is>
      </c>
      <c r="F16" s="35" t="inlineStr">
        <is>
          <t>Walk outside; aim 8k–10k steps</t>
        </is>
      </c>
      <c r="G16" s="35" t="inlineStr">
        <is>
          <t>Stretch 10 min</t>
        </is>
      </c>
      <c r="H16" s="35" t="inlineStr">
        <is>
          <t>RPE 6–7; leave 2–3 reps in reserve</t>
        </is>
      </c>
      <c r="I16" s="35" t="inlineStr">
        <is>
          <t>No heavy lifting</t>
        </is>
      </c>
    </row>
    <row r="17">
      <c r="A17" s="106" t="n">
        <v>46203</v>
      </c>
      <c r="B17" s="35" t="n">
        <v>3</v>
      </c>
      <c r="C17" s="35" t="inlineStr">
        <is>
          <t>Tuesday</t>
        </is>
      </c>
      <c r="D17" s="35" t="inlineStr">
        <is>
          <t>Push</t>
        </is>
      </c>
      <c r="E17" s="35" t="inlineStr">
        <is>
          <t>Push A</t>
        </is>
      </c>
      <c r="F17" s="35" t="inlineStr">
        <is>
          <t>25–35 min incline walk, 8–12% incline</t>
        </is>
      </c>
      <c r="G17" s="35" t="inlineStr">
        <is>
          <t>Shoulder warm-up</t>
        </is>
      </c>
      <c r="H17" s="35" t="inlineStr">
        <is>
          <t>RPE 7–8; add reps or small weight</t>
        </is>
      </c>
      <c r="I17" s="35" t="inlineStr">
        <is>
          <t>Chest/shoulders/triceps</t>
        </is>
      </c>
    </row>
    <row r="18">
      <c r="A18" s="106" t="n">
        <v>46204</v>
      </c>
      <c r="B18" s="35" t="n">
        <v>3</v>
      </c>
      <c r="C18" s="35" t="inlineStr">
        <is>
          <t>Wednesday</t>
        </is>
      </c>
      <c r="D18" s="35" t="inlineStr">
        <is>
          <t>Pull</t>
        </is>
      </c>
      <c r="E18" s="35" t="inlineStr">
        <is>
          <t>Pull A</t>
        </is>
      </c>
      <c r="F18" s="35" t="inlineStr">
        <is>
          <t>20–25 min incline walk if recovered</t>
        </is>
      </c>
      <c r="G18" s="35" t="inlineStr">
        <is>
          <t>Upper-back mobility</t>
        </is>
      </c>
      <c r="H18" s="35" t="inlineStr">
        <is>
          <t>RPE 7–8; add reps or small weight</t>
        </is>
      </c>
      <c r="I18" s="35" t="inlineStr">
        <is>
          <t>Back/biceps/rear delts</t>
        </is>
      </c>
    </row>
    <row r="19">
      <c r="A19" s="106" t="n">
        <v>46205</v>
      </c>
      <c r="B19" s="35" t="n">
        <v>3</v>
      </c>
      <c r="C19" s="35" t="inlineStr">
        <is>
          <t>Thursday</t>
        </is>
      </c>
      <c r="D19" s="35" t="inlineStr">
        <is>
          <t>Legs</t>
        </is>
      </c>
      <c r="E19" s="35" t="inlineStr">
        <is>
          <t>Legs A</t>
        </is>
      </c>
      <c r="F19" s="35" t="inlineStr">
        <is>
          <t>No hard cardio</t>
        </is>
      </c>
      <c r="G19" s="35" t="inlineStr">
        <is>
          <t>Core: plank + knee raises</t>
        </is>
      </c>
      <c r="H19" s="35" t="inlineStr">
        <is>
          <t>RPE 7–8; add reps or small weight</t>
        </is>
      </c>
      <c r="I19" s="35" t="inlineStr">
        <is>
          <t>Main leg strength day</t>
        </is>
      </c>
    </row>
    <row r="20">
      <c r="A20" s="106" t="n">
        <v>46206</v>
      </c>
      <c r="B20" s="35" t="n">
        <v>3</v>
      </c>
      <c r="C20" s="35" t="inlineStr">
        <is>
          <t>Friday</t>
        </is>
      </c>
      <c r="D20" s="35" t="inlineStr">
        <is>
          <t>Upper</t>
        </is>
      </c>
      <c r="E20" s="35" t="inlineStr">
        <is>
          <t>Upper Mixed</t>
        </is>
      </c>
      <c r="F20" s="35" t="inlineStr">
        <is>
          <t>25–35 min incline walk, 8–12% incline</t>
        </is>
      </c>
      <c r="G20" s="35" t="inlineStr">
        <is>
          <t>Band pull-aparts</t>
        </is>
      </c>
      <c r="H20" s="35" t="inlineStr">
        <is>
          <t>RPE 7–8; add reps or small weight</t>
        </is>
      </c>
      <c r="I20" s="35" t="inlineStr">
        <is>
          <t>Second upper-body stimulus</t>
        </is>
      </c>
    </row>
    <row r="21">
      <c r="A21" s="106" t="n">
        <v>46207</v>
      </c>
      <c r="B21" s="35" t="n">
        <v>3</v>
      </c>
      <c r="C21" s="35" t="inlineStr">
        <is>
          <t>Saturday</t>
        </is>
      </c>
      <c r="D21" s="35" t="inlineStr">
        <is>
          <t>Lower + Core</t>
        </is>
      </c>
      <c r="E21" s="35" t="inlineStr">
        <is>
          <t>Lower B</t>
        </is>
      </c>
      <c r="F21" s="35" t="inlineStr">
        <is>
          <t>20–30 min easy walk</t>
        </is>
      </c>
      <c r="G21" s="35" t="inlineStr">
        <is>
          <t>Core circuit</t>
        </is>
      </c>
      <c r="H21" s="35" t="inlineStr">
        <is>
          <t>RPE 7–8; add reps or small weight</t>
        </is>
      </c>
      <c r="I21" s="35" t="inlineStr">
        <is>
          <t>Posterior chain + unilateral legs</t>
        </is>
      </c>
    </row>
    <row r="22">
      <c r="A22" s="106" t="n">
        <v>46208</v>
      </c>
      <c r="B22" s="35" t="n">
        <v>3</v>
      </c>
      <c r="C22" s="35" t="inlineStr">
        <is>
          <t>Sunday</t>
        </is>
      </c>
      <c r="D22" s="35" t="inlineStr">
        <is>
          <t>Active Recovery</t>
        </is>
      </c>
      <c r="E22" s="35" t="inlineStr">
        <is>
          <t>Conditioning + Mobility</t>
        </is>
      </c>
      <c r="F22" s="35" t="inlineStr">
        <is>
          <t>Long walk 45–60 min (or easy bike); 8k–10k steps</t>
        </is>
      </c>
      <c r="G22" s="35" t="inlineStr">
        <is>
          <t>Full-body mobility</t>
        </is>
      </c>
      <c r="H22" s="35" t="inlineStr">
        <is>
          <t>RPE 7–8; add reps or small weight</t>
        </is>
      </c>
      <c r="I22" s="35" t="inlineStr">
        <is>
          <t>Longer walk + optional light arm pump; no heavy lifting</t>
        </is>
      </c>
    </row>
    <row r="23">
      <c r="A23" s="106" t="n">
        <v>46209</v>
      </c>
      <c r="B23" s="35" t="n">
        <v>3</v>
      </c>
      <c r="C23" s="35" t="inlineStr">
        <is>
          <t>Monday</t>
        </is>
      </c>
      <c r="D23" s="35" t="inlineStr">
        <is>
          <t>Rest</t>
        </is>
      </c>
      <c r="E23" s="35" t="inlineStr">
        <is>
          <t>Recovery</t>
        </is>
      </c>
      <c r="F23" s="35" t="inlineStr">
        <is>
          <t>Walk outside; aim 8k–10k steps</t>
        </is>
      </c>
      <c r="G23" s="35" t="inlineStr">
        <is>
          <t>Stretch 10 min</t>
        </is>
      </c>
      <c r="H23" s="35" t="inlineStr">
        <is>
          <t>RPE 7–8; add reps or small weight</t>
        </is>
      </c>
      <c r="I23" s="35" t="inlineStr">
        <is>
          <t>No heavy lifting</t>
        </is>
      </c>
    </row>
    <row r="24">
      <c r="A24" s="106" t="n">
        <v>46210</v>
      </c>
      <c r="B24" s="35" t="n">
        <v>4</v>
      </c>
      <c r="C24" s="35" t="inlineStr">
        <is>
          <t>Tuesday</t>
        </is>
      </c>
      <c r="D24" s="35" t="inlineStr">
        <is>
          <t>Push</t>
        </is>
      </c>
      <c r="E24" s="35" t="inlineStr">
        <is>
          <t>Push A</t>
        </is>
      </c>
      <c r="F24" s="35" t="inlineStr">
        <is>
          <t>25–35 min incline walk, 8–12% incline</t>
        </is>
      </c>
      <c r="G24" s="35" t="inlineStr">
        <is>
          <t>Shoulder warm-up</t>
        </is>
      </c>
      <c r="H24" s="35" t="inlineStr">
        <is>
          <t>RPE 7–8; add reps or small weight</t>
        </is>
      </c>
      <c r="I24" s="35" t="inlineStr">
        <is>
          <t>Chest/shoulders/triceps</t>
        </is>
      </c>
    </row>
    <row r="25">
      <c r="A25" s="106" t="n">
        <v>46211</v>
      </c>
      <c r="B25" s="35" t="n">
        <v>4</v>
      </c>
      <c r="C25" s="35" t="inlineStr">
        <is>
          <t>Wednesday</t>
        </is>
      </c>
      <c r="D25" s="35" t="inlineStr">
        <is>
          <t>Pull</t>
        </is>
      </c>
      <c r="E25" s="35" t="inlineStr">
        <is>
          <t>Pull A</t>
        </is>
      </c>
      <c r="F25" s="35" t="inlineStr">
        <is>
          <t>20–25 min incline walk if recovered</t>
        </is>
      </c>
      <c r="G25" s="35" t="inlineStr">
        <is>
          <t>Upper-back mobility</t>
        </is>
      </c>
      <c r="H25" s="35" t="inlineStr">
        <is>
          <t>RPE 7–8; add reps or small weight</t>
        </is>
      </c>
      <c r="I25" s="35" t="inlineStr">
        <is>
          <t>Back/biceps/rear delts</t>
        </is>
      </c>
    </row>
    <row r="26">
      <c r="A26" s="106" t="n">
        <v>46212</v>
      </c>
      <c r="B26" s="35" t="n">
        <v>4</v>
      </c>
      <c r="C26" s="35" t="inlineStr">
        <is>
          <t>Thursday</t>
        </is>
      </c>
      <c r="D26" s="35" t="inlineStr">
        <is>
          <t>Legs</t>
        </is>
      </c>
      <c r="E26" s="35" t="inlineStr">
        <is>
          <t>Legs A</t>
        </is>
      </c>
      <c r="F26" s="35" t="inlineStr">
        <is>
          <t>No hard cardio</t>
        </is>
      </c>
      <c r="G26" s="35" t="inlineStr">
        <is>
          <t>Core: plank + knee raises</t>
        </is>
      </c>
      <c r="H26" s="35" t="inlineStr">
        <is>
          <t>RPE 7–8; add reps or small weight</t>
        </is>
      </c>
      <c r="I26" s="35" t="inlineStr">
        <is>
          <t>Main leg strength day</t>
        </is>
      </c>
    </row>
    <row r="27">
      <c r="A27" s="106" t="n">
        <v>46213</v>
      </c>
      <c r="B27" s="35" t="n">
        <v>4</v>
      </c>
      <c r="C27" s="35" t="inlineStr">
        <is>
          <t>Friday</t>
        </is>
      </c>
      <c r="D27" s="35" t="inlineStr">
        <is>
          <t>Upper</t>
        </is>
      </c>
      <c r="E27" s="35" t="inlineStr">
        <is>
          <t>Upper Mixed</t>
        </is>
      </c>
      <c r="F27" s="35" t="inlineStr">
        <is>
          <t>25–35 min incline walk, 8–12% incline</t>
        </is>
      </c>
      <c r="G27" s="35" t="inlineStr">
        <is>
          <t>Band pull-aparts</t>
        </is>
      </c>
      <c r="H27" s="35" t="inlineStr">
        <is>
          <t>RPE 7–8; add reps or small weight</t>
        </is>
      </c>
      <c r="I27" s="35" t="inlineStr">
        <is>
          <t>Second upper-body stimulus</t>
        </is>
      </c>
    </row>
    <row r="28">
      <c r="A28" s="106" t="n">
        <v>46214</v>
      </c>
      <c r="B28" s="35" t="n">
        <v>4</v>
      </c>
      <c r="C28" s="35" t="inlineStr">
        <is>
          <t>Saturday</t>
        </is>
      </c>
      <c r="D28" s="35" t="inlineStr">
        <is>
          <t>Lower + Core</t>
        </is>
      </c>
      <c r="E28" s="35" t="inlineStr">
        <is>
          <t>Lower B</t>
        </is>
      </c>
      <c r="F28" s="35" t="inlineStr">
        <is>
          <t>20–30 min easy walk</t>
        </is>
      </c>
      <c r="G28" s="35" t="inlineStr">
        <is>
          <t>Core circuit</t>
        </is>
      </c>
      <c r="H28" s="35" t="inlineStr">
        <is>
          <t>RPE 7–8; add reps or small weight</t>
        </is>
      </c>
      <c r="I28" s="35" t="inlineStr">
        <is>
          <t>Posterior chain + unilateral legs</t>
        </is>
      </c>
    </row>
    <row r="29">
      <c r="A29" s="106" t="n">
        <v>46215</v>
      </c>
      <c r="B29" s="35" t="n">
        <v>4</v>
      </c>
      <c r="C29" s="35" t="inlineStr">
        <is>
          <t>Sunday</t>
        </is>
      </c>
      <c r="D29" s="35" t="inlineStr">
        <is>
          <t>Active Recovery</t>
        </is>
      </c>
      <c r="E29" s="35" t="inlineStr">
        <is>
          <t>Conditioning + Mobility</t>
        </is>
      </c>
      <c r="F29" s="35" t="inlineStr">
        <is>
          <t>Long walk 45–60 min (or easy bike); 8k–10k steps</t>
        </is>
      </c>
      <c r="G29" s="35" t="inlineStr">
        <is>
          <t>Full-body mobility</t>
        </is>
      </c>
      <c r="H29" s="35" t="inlineStr">
        <is>
          <t>RPE 7–8; add reps or small weight</t>
        </is>
      </c>
      <c r="I29" s="35" t="inlineStr">
        <is>
          <t>Longer walk + optional light arm pump; no heavy lifting</t>
        </is>
      </c>
    </row>
    <row r="30">
      <c r="A30" s="106" t="n">
        <v>46216</v>
      </c>
      <c r="B30" s="35" t="n">
        <v>4</v>
      </c>
      <c r="C30" s="35" t="inlineStr">
        <is>
          <t>Monday</t>
        </is>
      </c>
      <c r="D30" s="35" t="inlineStr">
        <is>
          <t>Rest</t>
        </is>
      </c>
      <c r="E30" s="35" t="inlineStr">
        <is>
          <t>Recovery</t>
        </is>
      </c>
      <c r="F30" s="35" t="inlineStr">
        <is>
          <t>Walk outside; aim 8k–10k steps</t>
        </is>
      </c>
      <c r="G30" s="35" t="inlineStr">
        <is>
          <t>Stretch 10 min</t>
        </is>
      </c>
      <c r="H30" s="35" t="inlineStr">
        <is>
          <t>RPE 7–8; add reps or small weight</t>
        </is>
      </c>
      <c r="I30" s="35" t="inlineStr">
        <is>
          <t>No heavy lifting</t>
        </is>
      </c>
    </row>
    <row r="31">
      <c r="A31" s="106" t="n">
        <v>46217</v>
      </c>
      <c r="B31" s="35" t="n">
        <v>5</v>
      </c>
      <c r="C31" s="35" t="inlineStr">
        <is>
          <t>Tuesday</t>
        </is>
      </c>
      <c r="D31" s="35" t="inlineStr">
        <is>
          <t>Push</t>
        </is>
      </c>
      <c r="E31" s="35" t="inlineStr">
        <is>
          <t>Push A</t>
        </is>
      </c>
      <c r="F31" s="35" t="inlineStr">
        <is>
          <t>25–35 min incline walk, 8–12% incline</t>
        </is>
      </c>
      <c r="G31" s="35" t="inlineStr">
        <is>
          <t>Shoulder warm-up</t>
        </is>
      </c>
      <c r="H31" s="35" t="inlineStr">
        <is>
          <t>RPE 8; last set can be hard but clean</t>
        </is>
      </c>
      <c r="I31" s="35" t="inlineStr">
        <is>
          <t>Chest/shoulders/triceps</t>
        </is>
      </c>
    </row>
    <row r="32">
      <c r="A32" s="106" t="n">
        <v>46218</v>
      </c>
      <c r="B32" s="35" t="n">
        <v>5</v>
      </c>
      <c r="C32" s="35" t="inlineStr">
        <is>
          <t>Wednesday</t>
        </is>
      </c>
      <c r="D32" s="35" t="inlineStr">
        <is>
          <t>Pull</t>
        </is>
      </c>
      <c r="E32" s="35" t="inlineStr">
        <is>
          <t>Pull A</t>
        </is>
      </c>
      <c r="F32" s="35" t="inlineStr">
        <is>
          <t>20–25 min incline walk if recovered</t>
        </is>
      </c>
      <c r="G32" s="35" t="inlineStr">
        <is>
          <t>Upper-back mobility</t>
        </is>
      </c>
      <c r="H32" s="35" t="inlineStr">
        <is>
          <t>RPE 8; last set can be hard but clean</t>
        </is>
      </c>
      <c r="I32" s="35" t="inlineStr">
        <is>
          <t>Back/biceps/rear delts</t>
        </is>
      </c>
    </row>
    <row r="33">
      <c r="A33" s="106" t="n">
        <v>46219</v>
      </c>
      <c r="B33" s="35" t="n">
        <v>5</v>
      </c>
      <c r="C33" s="35" t="inlineStr">
        <is>
          <t>Thursday</t>
        </is>
      </c>
      <c r="D33" s="35" t="inlineStr">
        <is>
          <t>Legs</t>
        </is>
      </c>
      <c r="E33" s="35" t="inlineStr">
        <is>
          <t>Legs A</t>
        </is>
      </c>
      <c r="F33" s="35" t="inlineStr">
        <is>
          <t>No hard cardio</t>
        </is>
      </c>
      <c r="G33" s="35" t="inlineStr">
        <is>
          <t>Core: plank + knee raises</t>
        </is>
      </c>
      <c r="H33" s="35" t="inlineStr">
        <is>
          <t>RPE 8; last set can be hard but clean</t>
        </is>
      </c>
      <c r="I33" s="35" t="inlineStr">
        <is>
          <t>Main leg strength day</t>
        </is>
      </c>
    </row>
    <row r="34">
      <c r="A34" s="106" t="n">
        <v>46220</v>
      </c>
      <c r="B34" s="35" t="n">
        <v>5</v>
      </c>
      <c r="C34" s="35" t="inlineStr">
        <is>
          <t>Friday</t>
        </is>
      </c>
      <c r="D34" s="35" t="inlineStr">
        <is>
          <t>Upper</t>
        </is>
      </c>
      <c r="E34" s="35" t="inlineStr">
        <is>
          <t>Upper Mixed</t>
        </is>
      </c>
      <c r="F34" s="35" t="inlineStr">
        <is>
          <t>25–35 min incline walk, 8–12% incline</t>
        </is>
      </c>
      <c r="G34" s="35" t="inlineStr">
        <is>
          <t>Band pull-aparts</t>
        </is>
      </c>
      <c r="H34" s="35" t="inlineStr">
        <is>
          <t>RPE 8; last set can be hard but clean</t>
        </is>
      </c>
      <c r="I34" s="35" t="inlineStr">
        <is>
          <t>Second upper-body stimulus</t>
        </is>
      </c>
    </row>
    <row r="35">
      <c r="A35" s="106" t="n">
        <v>46221</v>
      </c>
      <c r="B35" s="35" t="n">
        <v>5</v>
      </c>
      <c r="C35" s="35" t="inlineStr">
        <is>
          <t>Saturday</t>
        </is>
      </c>
      <c r="D35" s="35" t="inlineStr">
        <is>
          <t>Lower + Core</t>
        </is>
      </c>
      <c r="E35" s="35" t="inlineStr">
        <is>
          <t>Lower B</t>
        </is>
      </c>
      <c r="F35" s="35" t="inlineStr">
        <is>
          <t>20–30 min easy walk</t>
        </is>
      </c>
      <c r="G35" s="35" t="inlineStr">
        <is>
          <t>Core circuit</t>
        </is>
      </c>
      <c r="H35" s="35" t="inlineStr">
        <is>
          <t>RPE 8; last set can be hard but clean</t>
        </is>
      </c>
      <c r="I35" s="35" t="inlineStr">
        <is>
          <t>Posterior chain + unilateral legs</t>
        </is>
      </c>
    </row>
    <row r="36">
      <c r="A36" s="106" t="n">
        <v>46222</v>
      </c>
      <c r="B36" s="35" t="n">
        <v>5</v>
      </c>
      <c r="C36" s="35" t="inlineStr">
        <is>
          <t>Sunday</t>
        </is>
      </c>
      <c r="D36" s="35" t="inlineStr">
        <is>
          <t>Active Recovery</t>
        </is>
      </c>
      <c r="E36" s="35" t="inlineStr">
        <is>
          <t>Conditioning + Mobility</t>
        </is>
      </c>
      <c r="F36" s="35" t="inlineStr">
        <is>
          <t>Long walk 45–60 min (or easy bike); 8k–10k steps</t>
        </is>
      </c>
      <c r="G36" s="35" t="inlineStr">
        <is>
          <t>Full-body mobility</t>
        </is>
      </c>
      <c r="H36" s="35" t="inlineStr">
        <is>
          <t>RPE 8; last set can be hard but clean</t>
        </is>
      </c>
      <c r="I36" s="35" t="inlineStr">
        <is>
          <t>Longer walk + optional light arm pump; no heavy lifting</t>
        </is>
      </c>
    </row>
    <row r="37">
      <c r="A37" s="106" t="n">
        <v>46223</v>
      </c>
      <c r="B37" s="35" t="n">
        <v>5</v>
      </c>
      <c r="C37" s="35" t="inlineStr">
        <is>
          <t>Monday</t>
        </is>
      </c>
      <c r="D37" s="35" t="inlineStr">
        <is>
          <t>Rest</t>
        </is>
      </c>
      <c r="E37" s="35" t="inlineStr">
        <is>
          <t>Recovery</t>
        </is>
      </c>
      <c r="F37" s="35" t="inlineStr">
        <is>
          <t>Walk outside; aim 8k–10k steps</t>
        </is>
      </c>
      <c r="G37" s="35" t="inlineStr">
        <is>
          <t>Stretch 10 min</t>
        </is>
      </c>
      <c r="H37" s="35" t="inlineStr">
        <is>
          <t>RPE 8; last set can be hard but clean</t>
        </is>
      </c>
      <c r="I37" s="35" t="inlineStr">
        <is>
          <t>No heavy lifting</t>
        </is>
      </c>
    </row>
    <row r="38">
      <c r="A38" s="106" t="n">
        <v>46224</v>
      </c>
      <c r="B38" s="35" t="n">
        <v>6</v>
      </c>
      <c r="C38" s="35" t="inlineStr">
        <is>
          <t>Tuesday</t>
        </is>
      </c>
      <c r="D38" s="35" t="inlineStr">
        <is>
          <t>Push</t>
        </is>
      </c>
      <c r="E38" s="35" t="inlineStr">
        <is>
          <t>Push A</t>
        </is>
      </c>
      <c r="F38" s="35" t="inlineStr">
        <is>
          <t>25–35 min incline walk, 8–12% incline</t>
        </is>
      </c>
      <c r="G38" s="35" t="inlineStr">
        <is>
          <t>Shoulder warm-up</t>
        </is>
      </c>
      <c r="H38" s="35" t="inlineStr">
        <is>
          <t>RPE 8; last set can be hard but clean</t>
        </is>
      </c>
      <c r="I38" s="35" t="inlineStr">
        <is>
          <t>Chest/shoulders/triceps</t>
        </is>
      </c>
    </row>
    <row r="39">
      <c r="A39" s="106" t="n">
        <v>46225</v>
      </c>
      <c r="B39" s="35" t="n">
        <v>6</v>
      </c>
      <c r="C39" s="35" t="inlineStr">
        <is>
          <t>Wednesday</t>
        </is>
      </c>
      <c r="D39" s="35" t="inlineStr">
        <is>
          <t>Pull</t>
        </is>
      </c>
      <c r="E39" s="35" t="inlineStr">
        <is>
          <t>Pull A</t>
        </is>
      </c>
      <c r="F39" s="35" t="inlineStr">
        <is>
          <t>20–25 min incline walk if recovered</t>
        </is>
      </c>
      <c r="G39" s="35" t="inlineStr">
        <is>
          <t>Upper-back mobility</t>
        </is>
      </c>
      <c r="H39" s="35" t="inlineStr">
        <is>
          <t>RPE 8; last set can be hard but clean</t>
        </is>
      </c>
      <c r="I39" s="35" t="inlineStr">
        <is>
          <t>Back/biceps/rear delts</t>
        </is>
      </c>
    </row>
    <row r="40">
      <c r="A40" s="106" t="n">
        <v>46226</v>
      </c>
      <c r="B40" s="35" t="n">
        <v>6</v>
      </c>
      <c r="C40" s="35" t="inlineStr">
        <is>
          <t>Thursday</t>
        </is>
      </c>
      <c r="D40" s="35" t="inlineStr">
        <is>
          <t>Legs</t>
        </is>
      </c>
      <c r="E40" s="35" t="inlineStr">
        <is>
          <t>Legs A</t>
        </is>
      </c>
      <c r="F40" s="35" t="inlineStr">
        <is>
          <t>No hard cardio</t>
        </is>
      </c>
      <c r="G40" s="35" t="inlineStr">
        <is>
          <t>Core: plank + knee raises</t>
        </is>
      </c>
      <c r="H40" s="35" t="inlineStr">
        <is>
          <t>RPE 8; last set can be hard but clean</t>
        </is>
      </c>
      <c r="I40" s="35" t="inlineStr">
        <is>
          <t>Main leg strength day</t>
        </is>
      </c>
    </row>
    <row r="41">
      <c r="A41" s="106" t="n">
        <v>46227</v>
      </c>
      <c r="B41" s="35" t="n">
        <v>6</v>
      </c>
      <c r="C41" s="35" t="inlineStr">
        <is>
          <t>Friday</t>
        </is>
      </c>
      <c r="D41" s="35" t="inlineStr">
        <is>
          <t>Upper</t>
        </is>
      </c>
      <c r="E41" s="35" t="inlineStr">
        <is>
          <t>Upper Mixed</t>
        </is>
      </c>
      <c r="F41" s="35" t="inlineStr">
        <is>
          <t>25–35 min incline walk, 8–12% incline</t>
        </is>
      </c>
      <c r="G41" s="35" t="inlineStr">
        <is>
          <t>Band pull-aparts</t>
        </is>
      </c>
      <c r="H41" s="35" t="inlineStr">
        <is>
          <t>RPE 8; last set can be hard but clean</t>
        </is>
      </c>
      <c r="I41" s="35" t="inlineStr">
        <is>
          <t>Second upper-body stimulus</t>
        </is>
      </c>
    </row>
    <row r="42">
      <c r="A42" s="106" t="n">
        <v>46228</v>
      </c>
      <c r="B42" s="35" t="n">
        <v>6</v>
      </c>
      <c r="C42" s="35" t="inlineStr">
        <is>
          <t>Saturday</t>
        </is>
      </c>
      <c r="D42" s="35" t="inlineStr">
        <is>
          <t>Lower + Core</t>
        </is>
      </c>
      <c r="E42" s="35" t="inlineStr">
        <is>
          <t>Lower B</t>
        </is>
      </c>
      <c r="F42" s="35" t="inlineStr">
        <is>
          <t>20–30 min easy walk</t>
        </is>
      </c>
      <c r="G42" s="35" t="inlineStr">
        <is>
          <t>Core circuit</t>
        </is>
      </c>
      <c r="H42" s="35" t="inlineStr">
        <is>
          <t>RPE 8; last set can be hard but clean</t>
        </is>
      </c>
      <c r="I42" s="35" t="inlineStr">
        <is>
          <t>Posterior chain + unilateral legs</t>
        </is>
      </c>
    </row>
    <row r="43">
      <c r="A43" s="106" t="n">
        <v>46229</v>
      </c>
      <c r="B43" s="35" t="n">
        <v>6</v>
      </c>
      <c r="C43" s="35" t="inlineStr">
        <is>
          <t>Sunday</t>
        </is>
      </c>
      <c r="D43" s="35" t="inlineStr">
        <is>
          <t>Active Recovery</t>
        </is>
      </c>
      <c r="E43" s="35" t="inlineStr">
        <is>
          <t>Conditioning + Mobility</t>
        </is>
      </c>
      <c r="F43" s="35" t="inlineStr">
        <is>
          <t>Long walk 45–60 min (or easy bike); 8k–10k steps</t>
        </is>
      </c>
      <c r="G43" s="35" t="inlineStr">
        <is>
          <t>Full-body mobility</t>
        </is>
      </c>
      <c r="H43" s="35" t="inlineStr">
        <is>
          <t>RPE 8; last set can be hard but clean</t>
        </is>
      </c>
      <c r="I43" s="35" t="inlineStr">
        <is>
          <t>Longer walk + optional light arm pump; no heavy lifting</t>
        </is>
      </c>
    </row>
    <row r="44">
      <c r="A44" s="106" t="n">
        <v>46230</v>
      </c>
      <c r="B44" s="35" t="n">
        <v>6</v>
      </c>
      <c r="C44" s="35" t="inlineStr">
        <is>
          <t>Monday</t>
        </is>
      </c>
      <c r="D44" s="35" t="inlineStr">
        <is>
          <t>Rest</t>
        </is>
      </c>
      <c r="E44" s="35" t="inlineStr">
        <is>
          <t>Recovery</t>
        </is>
      </c>
      <c r="F44" s="35" t="inlineStr">
        <is>
          <t>Walk outside; aim 8k–10k steps</t>
        </is>
      </c>
      <c r="G44" s="35" t="inlineStr">
        <is>
          <t>Stretch 10 min</t>
        </is>
      </c>
      <c r="H44" s="35" t="inlineStr">
        <is>
          <t>RPE 8; last set can be hard but clean</t>
        </is>
      </c>
      <c r="I44" s="35" t="inlineStr">
        <is>
          <t>No heavy lifting</t>
        </is>
      </c>
    </row>
    <row r="45">
      <c r="A45" s="106" t="n">
        <v>46231</v>
      </c>
      <c r="B45" s="35" t="n">
        <v>7</v>
      </c>
      <c r="C45" s="35" t="inlineStr">
        <is>
          <t>Tuesday</t>
        </is>
      </c>
      <c r="D45" s="35" t="inlineStr">
        <is>
          <t>Push</t>
        </is>
      </c>
      <c r="E45" s="35" t="inlineStr">
        <is>
          <t>Push A</t>
        </is>
      </c>
      <c r="F45" s="35" t="inlineStr">
        <is>
          <t>35–40 min incline walk, 8–12% incline</t>
        </is>
      </c>
      <c r="G45" s="35" t="inlineStr">
        <is>
          <t>Shoulder warm-up</t>
        </is>
      </c>
      <c r="H45" s="35" t="inlineStr">
        <is>
          <t>Maintain weights; do not chase failure</t>
        </is>
      </c>
      <c r="I45" s="35" t="inlineStr">
        <is>
          <t>Chest/shoulders/triceps</t>
        </is>
      </c>
    </row>
    <row r="46">
      <c r="A46" s="106" t="n">
        <v>46232</v>
      </c>
      <c r="B46" s="35" t="n">
        <v>7</v>
      </c>
      <c r="C46" s="35" t="inlineStr">
        <is>
          <t>Wednesday</t>
        </is>
      </c>
      <c r="D46" s="35" t="inlineStr">
        <is>
          <t>Pull</t>
        </is>
      </c>
      <c r="E46" s="35" t="inlineStr">
        <is>
          <t>Pull A</t>
        </is>
      </c>
      <c r="F46" s="35" t="inlineStr">
        <is>
          <t>25–30 min incline walk</t>
        </is>
      </c>
      <c r="G46" s="35" t="inlineStr">
        <is>
          <t>Upper-back mobility</t>
        </is>
      </c>
      <c r="H46" s="35" t="inlineStr">
        <is>
          <t>Maintain weights; do not chase failure</t>
        </is>
      </c>
      <c r="I46" s="35" t="inlineStr">
        <is>
          <t>Back/biceps/rear delts</t>
        </is>
      </c>
    </row>
    <row r="47">
      <c r="A47" s="106" t="n">
        <v>46233</v>
      </c>
      <c r="B47" s="35" t="n">
        <v>7</v>
      </c>
      <c r="C47" s="35" t="inlineStr">
        <is>
          <t>Thursday</t>
        </is>
      </c>
      <c r="D47" s="35" t="inlineStr">
        <is>
          <t>Legs</t>
        </is>
      </c>
      <c r="E47" s="35" t="inlineStr">
        <is>
          <t>Legs A</t>
        </is>
      </c>
      <c r="F47" s="35" t="inlineStr">
        <is>
          <t>No hard cardio</t>
        </is>
      </c>
      <c r="G47" s="35" t="inlineStr">
        <is>
          <t>Core: plank + knee raises</t>
        </is>
      </c>
      <c r="H47" s="35" t="inlineStr">
        <is>
          <t>Maintain weights; do not chase failure</t>
        </is>
      </c>
      <c r="I47" s="35" t="inlineStr">
        <is>
          <t>Main leg strength day</t>
        </is>
      </c>
    </row>
    <row r="48">
      <c r="A48" s="106" t="n">
        <v>46234</v>
      </c>
      <c r="B48" s="35" t="n">
        <v>7</v>
      </c>
      <c r="C48" s="35" t="inlineStr">
        <is>
          <t>Friday</t>
        </is>
      </c>
      <c r="D48" s="35" t="inlineStr">
        <is>
          <t>Upper</t>
        </is>
      </c>
      <c r="E48" s="35" t="inlineStr">
        <is>
          <t>Upper Mixed</t>
        </is>
      </c>
      <c r="F48" s="35" t="inlineStr">
        <is>
          <t>35–40 min incline walk, 8–12% incline</t>
        </is>
      </c>
      <c r="G48" s="35" t="inlineStr">
        <is>
          <t>Band pull-aparts</t>
        </is>
      </c>
      <c r="H48" s="35" t="inlineStr">
        <is>
          <t>Maintain weights; do not chase failure</t>
        </is>
      </c>
      <c r="I48" s="35" t="inlineStr">
        <is>
          <t>Second upper-body stimulus</t>
        </is>
      </c>
    </row>
    <row r="49">
      <c r="A49" s="106" t="n">
        <v>46235</v>
      </c>
      <c r="B49" s="35" t="n">
        <v>7</v>
      </c>
      <c r="C49" s="35" t="inlineStr">
        <is>
          <t>Saturday</t>
        </is>
      </c>
      <c r="D49" s="35" t="inlineStr">
        <is>
          <t>Lower + Core</t>
        </is>
      </c>
      <c r="E49" s="35" t="inlineStr">
        <is>
          <t>Lower B</t>
        </is>
      </c>
      <c r="F49" s="35" t="inlineStr">
        <is>
          <t>30–35 min incline walk</t>
        </is>
      </c>
      <c r="G49" s="35" t="inlineStr">
        <is>
          <t>Core circuit</t>
        </is>
      </c>
      <c r="H49" s="35" t="inlineStr">
        <is>
          <t>Maintain weights; do not chase failure</t>
        </is>
      </c>
      <c r="I49" s="35" t="inlineStr">
        <is>
          <t>Posterior chain + unilateral legs</t>
        </is>
      </c>
    </row>
    <row r="50">
      <c r="A50" s="106" t="n">
        <v>46236</v>
      </c>
      <c r="B50" s="35" t="n">
        <v>7</v>
      </c>
      <c r="C50" s="35" t="inlineStr">
        <is>
          <t>Sunday</t>
        </is>
      </c>
      <c r="D50" s="35" t="inlineStr">
        <is>
          <t>Active Recovery</t>
        </is>
      </c>
      <c r="E50" s="35" t="inlineStr">
        <is>
          <t>Conditioning + Mobility</t>
        </is>
      </c>
      <c r="F50" s="35" t="inlineStr">
        <is>
          <t>Long walk 45–60 min (or easy bike); 8k–10k steps</t>
        </is>
      </c>
      <c r="G50" s="35" t="inlineStr">
        <is>
          <t>Full-body mobility</t>
        </is>
      </c>
      <c r="H50" s="35" t="inlineStr">
        <is>
          <t>Maintain weights; do not chase failure</t>
        </is>
      </c>
      <c r="I50" s="35" t="inlineStr">
        <is>
          <t>Longer walk + optional light arm pump; no heavy lifting</t>
        </is>
      </c>
    </row>
    <row r="51">
      <c r="A51" s="106" t="n">
        <v>46237</v>
      </c>
      <c r="B51" s="35" t="n">
        <v>7</v>
      </c>
      <c r="C51" s="35" t="inlineStr">
        <is>
          <t>Monday</t>
        </is>
      </c>
      <c r="D51" s="35" t="inlineStr">
        <is>
          <t>Rest</t>
        </is>
      </c>
      <c r="E51" s="35" t="inlineStr">
        <is>
          <t>Recovery</t>
        </is>
      </c>
      <c r="F51" s="35" t="inlineStr">
        <is>
          <t>Walk outside; aim 8k–10k steps</t>
        </is>
      </c>
      <c r="G51" s="35" t="inlineStr">
        <is>
          <t>Stretch 10 min</t>
        </is>
      </c>
      <c r="H51" s="35" t="inlineStr">
        <is>
          <t>Maintain weights; do not chase failure</t>
        </is>
      </c>
      <c r="I51" s="35" t="inlineStr">
        <is>
          <t>No heavy lifting</t>
        </is>
      </c>
    </row>
    <row r="52">
      <c r="A52" s="106" t="n">
        <v>46238</v>
      </c>
      <c r="B52" s="35" t="n">
        <v>8</v>
      </c>
      <c r="C52" s="35" t="inlineStr">
        <is>
          <t>Tuesday</t>
        </is>
      </c>
      <c r="D52" s="35" t="inlineStr">
        <is>
          <t>Push</t>
        </is>
      </c>
      <c r="E52" s="35" t="inlineStr">
        <is>
          <t>Push A</t>
        </is>
      </c>
      <c r="F52" s="35" t="inlineStr">
        <is>
          <t>35–40 min incline walk, 8–12% incline</t>
        </is>
      </c>
      <c r="G52" s="35" t="inlineStr">
        <is>
          <t>Shoulder warm-up</t>
        </is>
      </c>
      <c r="H52" s="35" t="inlineStr">
        <is>
          <t>Maintain weights; do not chase failure</t>
        </is>
      </c>
      <c r="I52" s="35" t="inlineStr">
        <is>
          <t>Chest/shoulders/triceps</t>
        </is>
      </c>
    </row>
    <row r="53">
      <c r="A53" s="106" t="n">
        <v>46239</v>
      </c>
      <c r="B53" s="35" t="n">
        <v>8</v>
      </c>
      <c r="C53" s="35" t="inlineStr">
        <is>
          <t>Wednesday</t>
        </is>
      </c>
      <c r="D53" s="35" t="inlineStr">
        <is>
          <t>Pull</t>
        </is>
      </c>
      <c r="E53" s="35" t="inlineStr">
        <is>
          <t>Pull A</t>
        </is>
      </c>
      <c r="F53" s="35" t="inlineStr">
        <is>
          <t>25–30 min incline walk</t>
        </is>
      </c>
      <c r="G53" s="35" t="inlineStr">
        <is>
          <t>Upper-back mobility</t>
        </is>
      </c>
      <c r="H53" s="35" t="inlineStr">
        <is>
          <t>Maintain weights; do not chase failure</t>
        </is>
      </c>
      <c r="I53" s="35" t="inlineStr">
        <is>
          <t>Back/biceps/rear delts</t>
        </is>
      </c>
    </row>
    <row r="54">
      <c r="A54" s="106" t="n">
        <v>46240</v>
      </c>
      <c r="B54" s="35" t="n">
        <v>8</v>
      </c>
      <c r="C54" s="35" t="inlineStr">
        <is>
          <t>Thursday</t>
        </is>
      </c>
      <c r="D54" s="35" t="inlineStr">
        <is>
          <t>Legs</t>
        </is>
      </c>
      <c r="E54" s="35" t="inlineStr">
        <is>
          <t>Legs A</t>
        </is>
      </c>
      <c r="F54" s="35" t="inlineStr">
        <is>
          <t>No hard cardio</t>
        </is>
      </c>
      <c r="G54" s="35" t="inlineStr">
        <is>
          <t>Core: plank + knee raises</t>
        </is>
      </c>
      <c r="H54" s="35" t="inlineStr">
        <is>
          <t>Maintain weights; do not chase failure</t>
        </is>
      </c>
      <c r="I54" s="35" t="inlineStr">
        <is>
          <t>Main leg strength day</t>
        </is>
      </c>
    </row>
    <row r="55">
      <c r="A55" s="106" t="n">
        <v>46241</v>
      </c>
      <c r="B55" s="35" t="n">
        <v>8</v>
      </c>
      <c r="C55" s="35" t="inlineStr">
        <is>
          <t>Friday</t>
        </is>
      </c>
      <c r="D55" s="35" t="inlineStr">
        <is>
          <t>Upper</t>
        </is>
      </c>
      <c r="E55" s="35" t="inlineStr">
        <is>
          <t>Upper Mixed</t>
        </is>
      </c>
      <c r="F55" s="35" t="inlineStr">
        <is>
          <t>35–40 min incline walk, 8–12% incline</t>
        </is>
      </c>
      <c r="G55" s="35" t="inlineStr">
        <is>
          <t>Band pull-aparts</t>
        </is>
      </c>
      <c r="H55" s="35" t="inlineStr">
        <is>
          <t>Maintain weights; do not chase failure</t>
        </is>
      </c>
      <c r="I55" s="35" t="inlineStr">
        <is>
          <t>Second upper-body stimulus</t>
        </is>
      </c>
    </row>
    <row r="56">
      <c r="A56" s="106" t="n">
        <v>46242</v>
      </c>
      <c r="B56" s="35" t="n">
        <v>8</v>
      </c>
      <c r="C56" s="35" t="inlineStr">
        <is>
          <t>Saturday</t>
        </is>
      </c>
      <c r="D56" s="35" t="inlineStr">
        <is>
          <t>Lower + Core</t>
        </is>
      </c>
      <c r="E56" s="35" t="inlineStr">
        <is>
          <t>Lower B</t>
        </is>
      </c>
      <c r="F56" s="35" t="inlineStr">
        <is>
          <t>30–35 min incline walk</t>
        </is>
      </c>
      <c r="G56" s="35" t="inlineStr">
        <is>
          <t>Core circuit</t>
        </is>
      </c>
      <c r="H56" s="35" t="inlineStr">
        <is>
          <t>Maintain weights; do not chase failure</t>
        </is>
      </c>
      <c r="I56" s="35" t="inlineStr">
        <is>
          <t>Posterior chain + unilateral legs</t>
        </is>
      </c>
    </row>
    <row r="57">
      <c r="A57" s="106" t="n">
        <v>46243</v>
      </c>
      <c r="B57" s="35" t="n">
        <v>8</v>
      </c>
      <c r="C57" s="35" t="inlineStr">
        <is>
          <t>Sunday</t>
        </is>
      </c>
      <c r="D57" s="35" t="inlineStr">
        <is>
          <t>Active Recovery</t>
        </is>
      </c>
      <c r="E57" s="35" t="inlineStr">
        <is>
          <t>Conditioning + Mobility</t>
        </is>
      </c>
      <c r="F57" s="35" t="inlineStr">
        <is>
          <t>Long walk 45–60 min (or easy bike); 8k–10k steps</t>
        </is>
      </c>
      <c r="G57" s="35" t="inlineStr">
        <is>
          <t>Full-body mobility</t>
        </is>
      </c>
      <c r="H57" s="35" t="inlineStr">
        <is>
          <t>Maintain weights; do not chase failure</t>
        </is>
      </c>
      <c r="I57" s="35" t="inlineStr">
        <is>
          <t>Longer walk + optional light arm pump; no heavy lifting</t>
        </is>
      </c>
    </row>
    <row r="58">
      <c r="A58" s="106" t="n">
        <v>46244</v>
      </c>
      <c r="B58" s="35" t="n">
        <v>8</v>
      </c>
      <c r="C58" s="35" t="inlineStr">
        <is>
          <t>Monday</t>
        </is>
      </c>
      <c r="D58" s="35" t="inlineStr">
        <is>
          <t>Rest</t>
        </is>
      </c>
      <c r="E58" s="35" t="inlineStr">
        <is>
          <t>Recovery</t>
        </is>
      </c>
      <c r="F58" s="35" t="inlineStr">
        <is>
          <t>Walk outside; aim 8k–10k steps</t>
        </is>
      </c>
      <c r="G58" s="35" t="inlineStr">
        <is>
          <t>Stretch 10 min</t>
        </is>
      </c>
      <c r="H58" s="35" t="inlineStr">
        <is>
          <t>Maintain weights; do not chase failure</t>
        </is>
      </c>
      <c r="I58" s="35" t="inlineStr">
        <is>
          <t>No heavy lifting</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cols>
    <col width="20" customWidth="1" style="74" min="1" max="1"/>
    <col width="8" customWidth="1" style="74" min="2" max="2"/>
    <col width="32" customWidth="1" style="74" min="3" max="3"/>
    <col width="18" customWidth="1" style="74" min="4" max="4"/>
    <col width="18" customWidth="1" style="74" min="5" max="5"/>
    <col width="18" customWidth="1" style="74" min="6" max="6"/>
    <col width="18" customWidth="1" style="74" min="7" max="7"/>
    <col width="12" customWidth="1" style="74" min="8" max="8"/>
    <col width="34" customWidth="1" style="74" min="9" max="9"/>
    <col width="24" customWidth="1" style="74" min="10" max="10"/>
  </cols>
  <sheetData>
    <row r="1" ht="28" customHeight="1" s="74">
      <c r="A1" s="11" t="inlineStr">
        <is>
          <t>Workout Details + 8-Week Progression</t>
        </is>
      </c>
      <c r="B1" s="1" t="n"/>
      <c r="C1" s="1" t="n"/>
      <c r="D1" s="1" t="n"/>
      <c r="E1" s="1" t="n"/>
      <c r="F1" s="1" t="n"/>
      <c r="G1" s="1" t="n"/>
      <c r="H1" s="1" t="n"/>
      <c r="I1" s="1" t="n"/>
      <c r="J1" s="1" t="n"/>
      <c r="K1" s="34" t="n"/>
    </row>
    <row r="2">
      <c r="A2" s="42" t="inlineStr">
        <is>
          <t>Template</t>
        </is>
      </c>
      <c r="B2" s="42" t="inlineStr">
        <is>
          <t>Order</t>
        </is>
      </c>
      <c r="C2" s="42" t="inlineStr">
        <is>
          <t>Exercise</t>
        </is>
      </c>
      <c r="D2" s="42" t="inlineStr">
        <is>
          <t>Weeks 1–2</t>
        </is>
      </c>
      <c r="E2" s="42" t="inlineStr">
        <is>
          <t>Weeks 3–4</t>
        </is>
      </c>
      <c r="F2" s="42" t="inlineStr">
        <is>
          <t>Weeks 5–6</t>
        </is>
      </c>
      <c r="G2" s="42" t="inlineStr">
        <is>
          <t>Weeks 7–8</t>
        </is>
      </c>
      <c r="H2" s="42" t="inlineStr">
        <is>
          <t>Rest</t>
        </is>
      </c>
      <c r="I2" s="42" t="inlineStr">
        <is>
          <t>Technique cue</t>
        </is>
      </c>
      <c r="J2" s="42" t="inlineStr">
        <is>
          <t>Substitute if busy</t>
        </is>
      </c>
    </row>
    <row r="3">
      <c r="A3" s="35" t="inlineStr">
        <is>
          <t>Push A</t>
        </is>
      </c>
      <c r="B3" s="35" t="n">
        <v>1</v>
      </c>
      <c r="C3" s="35" t="inlineStr">
        <is>
          <t>Barbell or DB Bench Press</t>
        </is>
      </c>
      <c r="D3" s="35" t="inlineStr">
        <is>
          <t>3 x 8 @ RPE 6–7</t>
        </is>
      </c>
      <c r="E3" s="35" t="inlineStr">
        <is>
          <t>4 x 6–8 @ RPE 7–8</t>
        </is>
      </c>
      <c r="F3" s="35" t="inlineStr">
        <is>
          <t>4 x 6–8 @ RPE 8</t>
        </is>
      </c>
      <c r="G3" s="35" t="inlineStr">
        <is>
          <t>3 x 6–8, same weight if possible</t>
        </is>
      </c>
      <c r="H3" s="35" t="inlineStr">
        <is>
          <t>2–3 min</t>
        </is>
      </c>
      <c r="I3" s="35" t="inlineStr">
        <is>
          <t>Control the lowering; no bouncing</t>
        </is>
      </c>
      <c r="J3" s="35" t="inlineStr">
        <is>
          <t>Chest press machine</t>
        </is>
      </c>
    </row>
    <row r="4">
      <c r="A4" s="35" t="inlineStr">
        <is>
          <t>Push A</t>
        </is>
      </c>
      <c r="B4" s="35" t="n">
        <v>2</v>
      </c>
      <c r="C4" s="35" t="inlineStr">
        <is>
          <t>Incline DB Press</t>
        </is>
      </c>
      <c r="D4" s="35" t="inlineStr">
        <is>
          <t>3 x 10</t>
        </is>
      </c>
      <c r="E4" s="35" t="inlineStr">
        <is>
          <t>3–4 x 8–10</t>
        </is>
      </c>
      <c r="F4" s="35" t="inlineStr">
        <is>
          <t>4 x 8–10</t>
        </is>
      </c>
      <c r="G4" s="35" t="inlineStr">
        <is>
          <t>3 x 8–10</t>
        </is>
      </c>
      <c r="H4" s="35" t="inlineStr">
        <is>
          <t>90 sec</t>
        </is>
      </c>
      <c r="I4" s="35" t="inlineStr">
        <is>
          <t>Elbows 30–45° from body</t>
        </is>
      </c>
      <c r="J4" s="35" t="inlineStr">
        <is>
          <t>Incline machine press</t>
        </is>
      </c>
    </row>
    <row r="5">
      <c r="A5" s="35" t="inlineStr">
        <is>
          <t>Push A</t>
        </is>
      </c>
      <c r="B5" s="35" t="n">
        <v>3</v>
      </c>
      <c r="C5" s="35" t="inlineStr">
        <is>
          <t>Seated Shoulder Press</t>
        </is>
      </c>
      <c r="D5" s="35" t="inlineStr">
        <is>
          <t>2–3 x 10</t>
        </is>
      </c>
      <c r="E5" s="35" t="inlineStr">
        <is>
          <t>3 x 8–10</t>
        </is>
      </c>
      <c r="F5" s="35" t="inlineStr">
        <is>
          <t>3–4 x 8</t>
        </is>
      </c>
      <c r="G5" s="35" t="inlineStr">
        <is>
          <t>3 x 8–10</t>
        </is>
      </c>
      <c r="H5" s="35" t="inlineStr">
        <is>
          <t>90 sec</t>
        </is>
      </c>
      <c r="I5" s="35" t="inlineStr">
        <is>
          <t>Do not over-arch lower back</t>
        </is>
      </c>
      <c r="J5" s="35" t="inlineStr">
        <is>
          <t>Machine shoulder press</t>
        </is>
      </c>
    </row>
    <row r="6">
      <c r="A6" s="35" t="inlineStr">
        <is>
          <t>Push A</t>
        </is>
      </c>
      <c r="B6" s="35" t="n">
        <v>4</v>
      </c>
      <c r="C6" s="35" t="inlineStr">
        <is>
          <t>Cable or DB Lateral Raise</t>
        </is>
      </c>
      <c r="D6" s="35" t="inlineStr">
        <is>
          <t>3 x 12–15</t>
        </is>
      </c>
      <c r="E6" s="35" t="inlineStr">
        <is>
          <t>3 x 12–15</t>
        </is>
      </c>
      <c r="F6" s="35" t="inlineStr">
        <is>
          <t>4 x 12–20</t>
        </is>
      </c>
      <c r="G6" s="35" t="inlineStr">
        <is>
          <t>3 x 15</t>
        </is>
      </c>
      <c r="H6" s="35" t="inlineStr">
        <is>
          <t>45–60 sec</t>
        </is>
      </c>
      <c r="I6" s="35" t="inlineStr">
        <is>
          <t>Lead with elbows; controlled reps</t>
        </is>
      </c>
      <c r="J6" s="35" t="inlineStr">
        <is>
          <t>Lateral raise machine</t>
        </is>
      </c>
    </row>
    <row r="7">
      <c r="A7" s="35" t="inlineStr">
        <is>
          <t>Push A</t>
        </is>
      </c>
      <c r="B7" s="35" t="n">
        <v>5</v>
      </c>
      <c r="C7" s="35" t="inlineStr">
        <is>
          <t>Cable Fly or Pec Deck</t>
        </is>
      </c>
      <c r="D7" s="35" t="inlineStr">
        <is>
          <t>2 x 12–15</t>
        </is>
      </c>
      <c r="E7" s="35" t="inlineStr">
        <is>
          <t>3 x 12–15</t>
        </is>
      </c>
      <c r="F7" s="35" t="inlineStr">
        <is>
          <t>3 x 12–15</t>
        </is>
      </c>
      <c r="G7" s="35" t="inlineStr">
        <is>
          <t>2–3 x 12–15</t>
        </is>
      </c>
      <c r="H7" s="35" t="inlineStr">
        <is>
          <t>60 sec</t>
        </is>
      </c>
      <c r="I7" s="35" t="inlineStr">
        <is>
          <t>Stretch chest without shoulder pain</t>
        </is>
      </c>
      <c r="J7" s="35" t="inlineStr">
        <is>
          <t>Push-ups</t>
        </is>
      </c>
    </row>
    <row r="8">
      <c r="A8" s="35" t="inlineStr">
        <is>
          <t>Push A</t>
        </is>
      </c>
      <c r="B8" s="35" t="n">
        <v>6</v>
      </c>
      <c r="C8" s="35" t="inlineStr">
        <is>
          <t>Rope Triceps Pushdown</t>
        </is>
      </c>
      <c r="D8" s="35" t="inlineStr">
        <is>
          <t>3 x 10–12</t>
        </is>
      </c>
      <c r="E8" s="35" t="inlineStr">
        <is>
          <t>3 x 10–15</t>
        </is>
      </c>
      <c r="F8" s="35" t="inlineStr">
        <is>
          <t>4 x 10–15</t>
        </is>
      </c>
      <c r="G8" s="35" t="inlineStr">
        <is>
          <t>3 x 12</t>
        </is>
      </c>
      <c r="H8" s="35" t="inlineStr">
        <is>
          <t>60 sec</t>
        </is>
      </c>
      <c r="I8" s="35" t="inlineStr">
        <is>
          <t>Lock elbows near ribs</t>
        </is>
      </c>
      <c r="J8" s="35" t="inlineStr">
        <is>
          <t>Straight-bar pushdown</t>
        </is>
      </c>
    </row>
    <row r="9">
      <c r="A9" s="35" t="inlineStr">
        <is>
          <t>Push A</t>
        </is>
      </c>
      <c r="B9" s="35" t="n">
        <v>7</v>
      </c>
      <c r="C9" s="35" t="inlineStr">
        <is>
          <t>Overhead Cable Triceps Extension</t>
        </is>
      </c>
      <c r="D9" s="35" t="inlineStr">
        <is>
          <t>2 x 12–15</t>
        </is>
      </c>
      <c r="E9" s="35" t="inlineStr">
        <is>
          <t>3 x 12–15</t>
        </is>
      </c>
      <c r="F9" s="35" t="inlineStr">
        <is>
          <t>3 x 12–15</t>
        </is>
      </c>
      <c r="G9" s="35" t="inlineStr">
        <is>
          <t>2 x 12–15</t>
        </is>
      </c>
      <c r="H9" s="35" t="inlineStr">
        <is>
          <t>60 sec</t>
        </is>
      </c>
      <c r="I9" s="35" t="inlineStr">
        <is>
          <t>Full stretch behind head</t>
        </is>
      </c>
      <c r="J9" s="35" t="inlineStr">
        <is>
          <t>DB overhead extension</t>
        </is>
      </c>
    </row>
    <row r="10">
      <c r="A10" s="35" t="inlineStr">
        <is>
          <t>Pull A</t>
        </is>
      </c>
      <c r="B10" s="35" t="n">
        <v>1</v>
      </c>
      <c r="C10" s="35" t="inlineStr">
        <is>
          <t>Pull-up or Lat Pulldown</t>
        </is>
      </c>
      <c r="D10" s="35" t="inlineStr">
        <is>
          <t>3 x 8–10</t>
        </is>
      </c>
      <c r="E10" s="35" t="inlineStr">
        <is>
          <t>4 x 8–10</t>
        </is>
      </c>
      <c r="F10" s="35" t="inlineStr">
        <is>
          <t>4 x 6–10</t>
        </is>
      </c>
      <c r="G10" s="35" t="inlineStr">
        <is>
          <t>3 x 8–10</t>
        </is>
      </c>
      <c r="H10" s="35" t="inlineStr">
        <is>
          <t>2 min</t>
        </is>
      </c>
      <c r="I10" s="35" t="inlineStr">
        <is>
          <t>Pull elbows down; avoid swinging</t>
        </is>
      </c>
      <c r="J10" s="35" t="inlineStr">
        <is>
          <t>Assisted pull-up</t>
        </is>
      </c>
    </row>
    <row r="11">
      <c r="A11" s="35" t="inlineStr">
        <is>
          <t>Pull A</t>
        </is>
      </c>
      <c r="B11" s="35" t="n">
        <v>2</v>
      </c>
      <c r="C11" s="35" t="inlineStr">
        <is>
          <t>Chest-Supported Row</t>
        </is>
      </c>
      <c r="D11" s="35" t="inlineStr">
        <is>
          <t>3 x 8–10</t>
        </is>
      </c>
      <c r="E11" s="35" t="inlineStr">
        <is>
          <t>4 x 8–10</t>
        </is>
      </c>
      <c r="F11" s="35" t="inlineStr">
        <is>
          <t>4 x 8</t>
        </is>
      </c>
      <c r="G11" s="35" t="inlineStr">
        <is>
          <t>3 x 8–10</t>
        </is>
      </c>
      <c r="H11" s="35" t="inlineStr">
        <is>
          <t>2 min</t>
        </is>
      </c>
      <c r="I11" s="35" t="inlineStr">
        <is>
          <t>Pause briefly at top</t>
        </is>
      </c>
      <c r="J11" s="35" t="inlineStr">
        <is>
          <t>Seated cable row</t>
        </is>
      </c>
    </row>
    <row r="12">
      <c r="A12" s="35" t="inlineStr">
        <is>
          <t>Pull A</t>
        </is>
      </c>
      <c r="B12" s="35" t="n">
        <v>3</v>
      </c>
      <c r="C12" s="35" t="inlineStr">
        <is>
          <t>Seated Cable Row</t>
        </is>
      </c>
      <c r="D12" s="35" t="inlineStr">
        <is>
          <t>3 x 10–12</t>
        </is>
      </c>
      <c r="E12" s="35" t="inlineStr">
        <is>
          <t>3 x 10–12</t>
        </is>
      </c>
      <c r="F12" s="35" t="inlineStr">
        <is>
          <t>4 x 10–12</t>
        </is>
      </c>
      <c r="G12" s="35" t="inlineStr">
        <is>
          <t>3 x 10–12</t>
        </is>
      </c>
      <c r="H12" s="35" t="inlineStr">
        <is>
          <t>90 sec</t>
        </is>
      </c>
      <c r="I12" s="35" t="inlineStr">
        <is>
          <t>Keep ribs down; squeeze back</t>
        </is>
      </c>
      <c r="J12" s="35" t="inlineStr">
        <is>
          <t>Machine row</t>
        </is>
      </c>
    </row>
    <row r="13">
      <c r="A13" s="35" t="inlineStr">
        <is>
          <t>Pull A</t>
        </is>
      </c>
      <c r="B13" s="35" t="n">
        <v>4</v>
      </c>
      <c r="C13" s="35" t="inlineStr">
        <is>
          <t>Single-Arm Cable Pulldown</t>
        </is>
      </c>
      <c r="D13" s="35" t="inlineStr">
        <is>
          <t>2 x 12/side</t>
        </is>
      </c>
      <c r="E13" s="35" t="inlineStr">
        <is>
          <t>3 x 12/side</t>
        </is>
      </c>
      <c r="F13" s="35" t="inlineStr">
        <is>
          <t>3 x 12–15/side</t>
        </is>
      </c>
      <c r="G13" s="35" t="inlineStr">
        <is>
          <t>2–3 x 12/side</t>
        </is>
      </c>
      <c r="H13" s="35" t="inlineStr">
        <is>
          <t>60 sec</t>
        </is>
      </c>
      <c r="I13" s="35" t="inlineStr">
        <is>
          <t>Reach and pull through elbow</t>
        </is>
      </c>
      <c r="J13" s="35" t="inlineStr">
        <is>
          <t>Straight-arm pulldown</t>
        </is>
      </c>
    </row>
    <row r="14">
      <c r="A14" s="35" t="inlineStr">
        <is>
          <t>Pull A</t>
        </is>
      </c>
      <c r="B14" s="35" t="n">
        <v>5</v>
      </c>
      <c r="C14" s="35" t="inlineStr">
        <is>
          <t>Face Pull or Rear-Delt Fly</t>
        </is>
      </c>
      <c r="D14" s="35" t="inlineStr">
        <is>
          <t>3 x 15</t>
        </is>
      </c>
      <c r="E14" s="35" t="inlineStr">
        <is>
          <t>3 x 15–20</t>
        </is>
      </c>
      <c r="F14" s="35" t="inlineStr">
        <is>
          <t>4 x 15–20</t>
        </is>
      </c>
      <c r="G14" s="35" t="inlineStr">
        <is>
          <t>3 x 15</t>
        </is>
      </c>
      <c r="H14" s="35" t="inlineStr">
        <is>
          <t>45–60 sec</t>
        </is>
      </c>
      <c r="I14" s="35" t="inlineStr">
        <is>
          <t>Move shoulders, not lower back</t>
        </is>
      </c>
      <c r="J14" s="35" t="inlineStr">
        <is>
          <t>Reverse pec deck</t>
        </is>
      </c>
    </row>
    <row r="15">
      <c r="A15" s="35" t="inlineStr">
        <is>
          <t>Pull A</t>
        </is>
      </c>
      <c r="B15" s="35" t="n">
        <v>6</v>
      </c>
      <c r="C15" s="35" t="inlineStr">
        <is>
          <t>Incline DB Curl</t>
        </is>
      </c>
      <c r="D15" s="35" t="inlineStr">
        <is>
          <t>3 x 10–12</t>
        </is>
      </c>
      <c r="E15" s="35" t="inlineStr">
        <is>
          <t>3 x 10–12</t>
        </is>
      </c>
      <c r="F15" s="35" t="inlineStr">
        <is>
          <t>4 x 8–12</t>
        </is>
      </c>
      <c r="G15" s="35" t="inlineStr">
        <is>
          <t>3 x 10–12</t>
        </is>
      </c>
      <c r="H15" s="35" t="inlineStr">
        <is>
          <t>60 sec</t>
        </is>
      </c>
      <c r="I15" s="35" t="inlineStr">
        <is>
          <t>No shoulder swing</t>
        </is>
      </c>
      <c r="J15" s="35" t="inlineStr">
        <is>
          <t>Cable curl</t>
        </is>
      </c>
    </row>
    <row r="16">
      <c r="A16" s="35" t="inlineStr">
        <is>
          <t>Pull A</t>
        </is>
      </c>
      <c r="B16" s="35" t="n">
        <v>7</v>
      </c>
      <c r="C16" s="35" t="inlineStr">
        <is>
          <t>Hammer Curl</t>
        </is>
      </c>
      <c r="D16" s="35" t="inlineStr">
        <is>
          <t>2 x 12</t>
        </is>
      </c>
      <c r="E16" s="35" t="inlineStr">
        <is>
          <t>3 x 10–12</t>
        </is>
      </c>
      <c r="F16" s="35" t="inlineStr">
        <is>
          <t>3 x 10–12</t>
        </is>
      </c>
      <c r="G16" s="35" t="inlineStr">
        <is>
          <t>2–3 x 12</t>
        </is>
      </c>
      <c r="H16" s="35" t="inlineStr">
        <is>
          <t>60 sec</t>
        </is>
      </c>
      <c r="I16" s="35" t="inlineStr">
        <is>
          <t>Neutral wrist; slow down</t>
        </is>
      </c>
      <c r="J16" s="35" t="inlineStr">
        <is>
          <t>Rope hammer curl</t>
        </is>
      </c>
    </row>
    <row r="17">
      <c r="A17" s="35" t="inlineStr">
        <is>
          <t>Legs A</t>
        </is>
      </c>
      <c r="B17" s="35" t="n">
        <v>1</v>
      </c>
      <c r="C17" s="35" t="inlineStr">
        <is>
          <t>Hack Squat</t>
        </is>
      </c>
      <c r="D17" s="35" t="inlineStr">
        <is>
          <t>3 x 8 @ RPE 6–7</t>
        </is>
      </c>
      <c r="E17" s="35" t="inlineStr">
        <is>
          <t>4 x 6–8 @ RPE 7–8</t>
        </is>
      </c>
      <c r="F17" s="35" t="inlineStr">
        <is>
          <t>4 x 6–8 @ RPE 8</t>
        </is>
      </c>
      <c r="G17" s="35" t="inlineStr">
        <is>
          <t>3 x 6–8</t>
        </is>
      </c>
      <c r="H17" s="35" t="inlineStr">
        <is>
          <t>2–3 min</t>
        </is>
      </c>
      <c r="I17" s="35" t="inlineStr">
        <is>
          <t>Consistent depth; control the descent; safe to fail solo</t>
        </is>
      </c>
      <c r="J17" s="35" t="inlineStr">
        <is>
          <t>Leg press, Smith-machine squat, or pendulum squat</t>
        </is>
      </c>
    </row>
    <row r="18">
      <c r="A18" s="35" t="inlineStr">
        <is>
          <t>Legs A</t>
        </is>
      </c>
      <c r="B18" s="35" t="n">
        <v>2</v>
      </c>
      <c r="C18" s="35" t="inlineStr">
        <is>
          <t>45° Back Extension (Hyperextension)</t>
        </is>
      </c>
      <c r="D18" s="35" t="inlineStr">
        <is>
          <t>3 x 8–10</t>
        </is>
      </c>
      <c r="E18" s="35" t="inlineStr">
        <is>
          <t>3–4 x 8–10</t>
        </is>
      </c>
      <c r="F18" s="35" t="inlineStr">
        <is>
          <t>4 x 8–10</t>
        </is>
      </c>
      <c r="G18" s="35" t="inlineStr">
        <is>
          <t>3 x 8–10</t>
        </is>
      </c>
      <c r="H18" s="35" t="inlineStr">
        <is>
          <t>2 min</t>
        </is>
      </c>
      <c r="I18" s="35" t="inlineStr">
        <is>
          <t>Hinge at hips; squeeze glutes at top; no lower-back rounding</t>
        </is>
      </c>
      <c r="J18" s="35" t="inlineStr">
        <is>
          <t>Cable pull-through or glute-ham raise</t>
        </is>
      </c>
    </row>
    <row r="19">
      <c r="A19" s="35" t="inlineStr">
        <is>
          <t>Legs A</t>
        </is>
      </c>
      <c r="B19" s="35" t="n">
        <v>3</v>
      </c>
      <c r="C19" s="35" t="inlineStr">
        <is>
          <t>Leg Press</t>
        </is>
      </c>
      <c r="D19" s="35" t="inlineStr">
        <is>
          <t>3 x 10–12</t>
        </is>
      </c>
      <c r="E19" s="35" t="inlineStr">
        <is>
          <t>3 x 10–12</t>
        </is>
      </c>
      <c r="F19" s="35" t="inlineStr">
        <is>
          <t>4 x 10–12</t>
        </is>
      </c>
      <c r="G19" s="35" t="inlineStr">
        <is>
          <t>3 x 10–12</t>
        </is>
      </c>
      <c r="H19" s="35" t="inlineStr">
        <is>
          <t>90 sec</t>
        </is>
      </c>
      <c r="I19" s="35" t="inlineStr">
        <is>
          <t>Full range; no knee cave</t>
        </is>
      </c>
      <c r="J19" s="35" t="inlineStr">
        <is>
          <t>Pendulum squat or belt squat</t>
        </is>
      </c>
    </row>
    <row r="20">
      <c r="A20" s="35" t="inlineStr">
        <is>
          <t>Legs A</t>
        </is>
      </c>
      <c r="B20" s="35" t="n">
        <v>4</v>
      </c>
      <c r="C20" s="35" t="inlineStr">
        <is>
          <t>Lying or Seated Leg Curl</t>
        </is>
      </c>
      <c r="D20" s="35" t="inlineStr">
        <is>
          <t>3 x 10–12</t>
        </is>
      </c>
      <c r="E20" s="35" t="inlineStr">
        <is>
          <t>3 x 10–15</t>
        </is>
      </c>
      <c r="F20" s="35" t="inlineStr">
        <is>
          <t>4 x 10–15</t>
        </is>
      </c>
      <c r="G20" s="35" t="inlineStr">
        <is>
          <t>3 x 12</t>
        </is>
      </c>
      <c r="H20" s="35" t="inlineStr">
        <is>
          <t>60–90 sec</t>
        </is>
      </c>
      <c r="I20" s="35" t="inlineStr">
        <is>
          <t>Control the negative</t>
        </is>
      </c>
      <c r="J20" s="35" t="inlineStr">
        <is>
          <t>Stability-ball curl</t>
        </is>
      </c>
    </row>
    <row r="21">
      <c r="A21" s="35" t="inlineStr">
        <is>
          <t>Legs A</t>
        </is>
      </c>
      <c r="B21" s="35" t="n">
        <v>5</v>
      </c>
      <c r="C21" s="35" t="inlineStr">
        <is>
          <t>Leg Extension</t>
        </is>
      </c>
      <c r="D21" s="35" t="inlineStr">
        <is>
          <t>2 x 12–15</t>
        </is>
      </c>
      <c r="E21" s="35" t="inlineStr">
        <is>
          <t>3 x 12–15</t>
        </is>
      </c>
      <c r="F21" s="35" t="inlineStr">
        <is>
          <t>3 x 12–20</t>
        </is>
      </c>
      <c r="G21" s="35" t="inlineStr">
        <is>
          <t>2 x 15</t>
        </is>
      </c>
      <c r="H21" s="35" t="inlineStr">
        <is>
          <t>60 sec</t>
        </is>
      </c>
      <c r="I21" s="35" t="inlineStr">
        <is>
          <t>Squeeze quads at top</t>
        </is>
      </c>
      <c r="J21" s="35" t="inlineStr">
        <is>
          <t>Goblet squat</t>
        </is>
      </c>
    </row>
    <row r="22">
      <c r="A22" s="35" t="inlineStr">
        <is>
          <t>Legs A</t>
        </is>
      </c>
      <c r="B22" s="35" t="n">
        <v>6</v>
      </c>
      <c r="C22" s="35" t="inlineStr">
        <is>
          <t>Standing Calf Raise</t>
        </is>
      </c>
      <c r="D22" s="35" t="inlineStr">
        <is>
          <t>4 x 10–15</t>
        </is>
      </c>
      <c r="E22" s="35" t="inlineStr">
        <is>
          <t>4 x 10–15</t>
        </is>
      </c>
      <c r="F22" s="35" t="inlineStr">
        <is>
          <t>5 x 10–15</t>
        </is>
      </c>
      <c r="G22" s="35" t="inlineStr">
        <is>
          <t>4 x 12–15</t>
        </is>
      </c>
      <c r="H22" s="35" t="inlineStr">
        <is>
          <t>45–60 sec</t>
        </is>
      </c>
      <c r="I22" s="35" t="inlineStr">
        <is>
          <t>Pause at stretched bottom</t>
        </is>
      </c>
      <c r="J22" s="35" t="inlineStr">
        <is>
          <t>Seated calf raise</t>
        </is>
      </c>
    </row>
    <row r="23">
      <c r="A23" s="35" t="inlineStr">
        <is>
          <t>Legs A</t>
        </is>
      </c>
      <c r="B23" s="35" t="n">
        <v>7</v>
      </c>
      <c r="C23" s="35" t="inlineStr">
        <is>
          <t>Plank + Hanging Knee Raise</t>
        </is>
      </c>
      <c r="D23" s="35" t="inlineStr">
        <is>
          <t>2 rounds</t>
        </is>
      </c>
      <c r="E23" s="35" t="inlineStr">
        <is>
          <t>3 rounds</t>
        </is>
      </c>
      <c r="F23" s="35" t="inlineStr">
        <is>
          <t>3–4 rounds</t>
        </is>
      </c>
      <c r="G23" s="35" t="inlineStr">
        <is>
          <t>3 rounds</t>
        </is>
      </c>
      <c r="H23" s="35" t="inlineStr">
        <is>
          <t>45 sec</t>
        </is>
      </c>
      <c r="I23" s="35" t="inlineStr">
        <is>
          <t>Slow, controlled core work</t>
        </is>
      </c>
      <c r="J23" s="35" t="inlineStr">
        <is>
          <t>Cable crunch</t>
        </is>
      </c>
    </row>
    <row r="24">
      <c r="A24" s="35" t="inlineStr">
        <is>
          <t>Upper Mixed</t>
        </is>
      </c>
      <c r="B24" s="35" t="n">
        <v>1</v>
      </c>
      <c r="C24" s="35" t="inlineStr">
        <is>
          <t>Incline Bench Press</t>
        </is>
      </c>
      <c r="D24" s="35" t="inlineStr">
        <is>
          <t>3 x 8</t>
        </is>
      </c>
      <c r="E24" s="35" t="inlineStr">
        <is>
          <t>4 x 6–8</t>
        </is>
      </c>
      <c r="F24" s="35" t="inlineStr">
        <is>
          <t>4 x 6–8</t>
        </is>
      </c>
      <c r="G24" s="35" t="inlineStr">
        <is>
          <t>3 x 6–8</t>
        </is>
      </c>
      <c r="H24" s="35" t="inlineStr">
        <is>
          <t>2–3 min</t>
        </is>
      </c>
      <c r="I24" s="35" t="inlineStr">
        <is>
          <t>Upper chest focus</t>
        </is>
      </c>
      <c r="J24" s="35" t="inlineStr">
        <is>
          <t>DB incline press</t>
        </is>
      </c>
    </row>
    <row r="25">
      <c r="A25" s="35" t="inlineStr">
        <is>
          <t>Upper Mixed</t>
        </is>
      </c>
      <c r="B25" s="35" t="n">
        <v>2</v>
      </c>
      <c r="C25" s="35" t="inlineStr">
        <is>
          <t>Weighted Pull-up or Lat Pulldown</t>
        </is>
      </c>
      <c r="D25" s="35" t="inlineStr">
        <is>
          <t>3 x 8–10</t>
        </is>
      </c>
      <c r="E25" s="35" t="inlineStr">
        <is>
          <t>4 x 6–10</t>
        </is>
      </c>
      <c r="F25" s="35" t="inlineStr">
        <is>
          <t>4 x 6–10</t>
        </is>
      </c>
      <c r="G25" s="35" t="inlineStr">
        <is>
          <t>3 x 8</t>
        </is>
      </c>
      <c r="H25" s="35" t="inlineStr">
        <is>
          <t>2 min</t>
        </is>
      </c>
      <c r="I25" s="35" t="inlineStr">
        <is>
          <t>No swinging; full stretch</t>
        </is>
      </c>
      <c r="J25" s="35" t="inlineStr">
        <is>
          <t>Assisted pull-up</t>
        </is>
      </c>
    </row>
    <row r="26">
      <c r="A26" s="35" t="inlineStr">
        <is>
          <t>Upper Mixed</t>
        </is>
      </c>
      <c r="B26" s="35" t="n">
        <v>3</v>
      </c>
      <c r="C26" s="35" t="inlineStr">
        <is>
          <t>One-Arm DB Row</t>
        </is>
      </c>
      <c r="D26" s="35" t="inlineStr">
        <is>
          <t>3 x 10/side</t>
        </is>
      </c>
      <c r="E26" s="35" t="inlineStr">
        <is>
          <t>3–4 x 8–10/side</t>
        </is>
      </c>
      <c r="F26" s="35" t="inlineStr">
        <is>
          <t>4 x 8–10/side</t>
        </is>
      </c>
      <c r="G26" s="35" t="inlineStr">
        <is>
          <t>3 x 10/side</t>
        </is>
      </c>
      <c r="H26" s="35" t="inlineStr">
        <is>
          <t>90 sec</t>
        </is>
      </c>
      <c r="I26" s="35" t="inlineStr">
        <is>
          <t>Pull elbow to hip</t>
        </is>
      </c>
      <c r="J26" s="35" t="inlineStr">
        <is>
          <t>Machine row</t>
        </is>
      </c>
    </row>
    <row r="27">
      <c r="A27" s="35" t="inlineStr">
        <is>
          <t>Upper Mixed</t>
        </is>
      </c>
      <c r="B27" s="35" t="n">
        <v>4</v>
      </c>
      <c r="C27" s="35" t="inlineStr">
        <is>
          <t>Seated DB Shoulder Press</t>
        </is>
      </c>
      <c r="D27" s="35" t="inlineStr">
        <is>
          <t>3 x 8–10</t>
        </is>
      </c>
      <c r="E27" s="35" t="inlineStr">
        <is>
          <t>3 x 8–10</t>
        </is>
      </c>
      <c r="F27" s="35" t="inlineStr">
        <is>
          <t>3–4 x 8</t>
        </is>
      </c>
      <c r="G27" s="35" t="inlineStr">
        <is>
          <t>3 x 8–10</t>
        </is>
      </c>
      <c r="H27" s="35" t="inlineStr">
        <is>
          <t>90 sec</t>
        </is>
      </c>
      <c r="I27" s="35" t="inlineStr">
        <is>
          <t>Control reps</t>
        </is>
      </c>
      <c r="J27" s="35" t="inlineStr">
        <is>
          <t>Machine press</t>
        </is>
      </c>
    </row>
    <row r="28">
      <c r="A28" s="35" t="inlineStr">
        <is>
          <t>Upper Mixed</t>
        </is>
      </c>
      <c r="B28" s="35" t="n">
        <v>5</v>
      </c>
      <c r="C28" s="35" t="inlineStr">
        <is>
          <t>Cable Lateral Raise</t>
        </is>
      </c>
      <c r="D28" s="35" t="inlineStr">
        <is>
          <t>3 x 15</t>
        </is>
      </c>
      <c r="E28" s="35" t="inlineStr">
        <is>
          <t>3 x 15–20</t>
        </is>
      </c>
      <c r="F28" s="35" t="inlineStr">
        <is>
          <t>4 x 15–20</t>
        </is>
      </c>
      <c r="G28" s="35" t="inlineStr">
        <is>
          <t>3 x 15</t>
        </is>
      </c>
      <c r="H28" s="35" t="inlineStr">
        <is>
          <t>45 sec</t>
        </is>
      </c>
      <c r="I28" s="35" t="inlineStr">
        <is>
          <t>Constant tension</t>
        </is>
      </c>
      <c r="J28" s="35" t="inlineStr">
        <is>
          <t>DB lateral raise</t>
        </is>
      </c>
    </row>
    <row r="29">
      <c r="A29" s="35" t="inlineStr">
        <is>
          <t>Upper Mixed</t>
        </is>
      </c>
      <c r="B29" s="35" t="n">
        <v>6</v>
      </c>
      <c r="C29" s="35" t="inlineStr">
        <is>
          <t>Cable Fly</t>
        </is>
      </c>
      <c r="D29" s="35" t="inlineStr">
        <is>
          <t>2 x 12–15</t>
        </is>
      </c>
      <c r="E29" s="35" t="inlineStr">
        <is>
          <t>3 x 12–15</t>
        </is>
      </c>
      <c r="F29" s="35" t="inlineStr">
        <is>
          <t>3 x 12–15</t>
        </is>
      </c>
      <c r="G29" s="35" t="inlineStr">
        <is>
          <t>2 x 12–15</t>
        </is>
      </c>
      <c r="H29" s="35" t="inlineStr">
        <is>
          <t>60 sec</t>
        </is>
      </c>
      <c r="I29" s="35" t="inlineStr">
        <is>
          <t>Do not overstretch shoulders</t>
        </is>
      </c>
      <c r="J29" s="35" t="inlineStr">
        <is>
          <t>Pec deck</t>
        </is>
      </c>
    </row>
    <row r="30">
      <c r="A30" s="35" t="inlineStr">
        <is>
          <t>Upper Mixed</t>
        </is>
      </c>
      <c r="B30" s="35" t="n">
        <v>7</v>
      </c>
      <c r="C30" s="35" t="inlineStr">
        <is>
          <t>Superset: Rope Pushdown + Cable Curl</t>
        </is>
      </c>
      <c r="D30" s="35" t="inlineStr">
        <is>
          <t>2 x 12 each</t>
        </is>
      </c>
      <c r="E30" s="35" t="inlineStr">
        <is>
          <t>3 x 12 each</t>
        </is>
      </c>
      <c r="F30" s="35" t="inlineStr">
        <is>
          <t>3 x 10–15 each</t>
        </is>
      </c>
      <c r="G30" s="35" t="inlineStr">
        <is>
          <t>2–3 x 12 each</t>
        </is>
      </c>
      <c r="H30" s="35" t="inlineStr">
        <is>
          <t>60 sec</t>
        </is>
      </c>
      <c r="I30" s="35" t="inlineStr">
        <is>
          <t>Smooth reps, no ego</t>
        </is>
      </c>
      <c r="J30" s="35" t="inlineStr">
        <is>
          <t>DB curl + dips</t>
        </is>
      </c>
    </row>
    <row r="31">
      <c r="A31" s="35" t="inlineStr">
        <is>
          <t>Lower B</t>
        </is>
      </c>
      <c r="B31" s="35" t="n">
        <v>1</v>
      </c>
      <c r="C31" s="35" t="inlineStr">
        <is>
          <t>Heavy Leg Press</t>
        </is>
      </c>
      <c r="D31" s="35" t="inlineStr">
        <is>
          <t>3 x 6 @ RPE 6–7</t>
        </is>
      </c>
      <c r="E31" s="35" t="inlineStr">
        <is>
          <t>3 x 6 @ RPE 7–8</t>
        </is>
      </c>
      <c r="F31" s="35" t="inlineStr">
        <is>
          <t>4 x 5–6 @ RPE 8</t>
        </is>
      </c>
      <c r="G31" s="35" t="inlineStr">
        <is>
          <t>3 x 5–6</t>
        </is>
      </c>
      <c r="H31" s="35" t="inlineStr">
        <is>
          <t>2–3 min</t>
        </is>
      </c>
      <c r="I31" s="35" t="inlineStr">
        <is>
          <t>Feet mid-platform; deep but controlled; drive through heels; don't slam-lock knees</t>
        </is>
      </c>
      <c r="J31" s="35" t="inlineStr">
        <is>
          <t>Hack squat</t>
        </is>
      </c>
    </row>
    <row r="32">
      <c r="A32" s="35" t="inlineStr">
        <is>
          <t>Lower B</t>
        </is>
      </c>
      <c r="B32" s="35" t="n">
        <v>2</v>
      </c>
      <c r="C32" s="35" t="inlineStr">
        <is>
          <t>Front Squat or Goblet Squat</t>
        </is>
      </c>
      <c r="D32" s="35" t="inlineStr">
        <is>
          <t>3 x 8</t>
        </is>
      </c>
      <c r="E32" s="35" t="inlineStr">
        <is>
          <t>3–4 x 8</t>
        </is>
      </c>
      <c r="F32" s="35" t="inlineStr">
        <is>
          <t>4 x 6–8</t>
        </is>
      </c>
      <c r="G32" s="35" t="inlineStr">
        <is>
          <t>3 x 8</t>
        </is>
      </c>
      <c r="H32" s="35" t="inlineStr">
        <is>
          <t>2 min</t>
        </is>
      </c>
      <c r="I32" s="35" t="inlineStr">
        <is>
          <t>Stay upright</t>
        </is>
      </c>
      <c r="J32" s="35" t="inlineStr">
        <is>
          <t>Hack squat</t>
        </is>
      </c>
    </row>
    <row r="33">
      <c r="A33" s="35" t="inlineStr">
        <is>
          <t>Lower B</t>
        </is>
      </c>
      <c r="B33" s="35" t="n">
        <v>3</v>
      </c>
      <c r="C33" s="35" t="inlineStr">
        <is>
          <t>Bulgarian Split Squat</t>
        </is>
      </c>
      <c r="D33" s="35" t="inlineStr">
        <is>
          <t>2 x 8/side</t>
        </is>
      </c>
      <c r="E33" s="35" t="inlineStr">
        <is>
          <t>3 x 8–10/side</t>
        </is>
      </c>
      <c r="F33" s="35" t="inlineStr">
        <is>
          <t>3 x 10/side</t>
        </is>
      </c>
      <c r="G33" s="35" t="inlineStr">
        <is>
          <t>2–3 x 8/side</t>
        </is>
      </c>
      <c r="H33" s="35" t="inlineStr">
        <is>
          <t>90 sec</t>
        </is>
      </c>
      <c r="I33" s="35" t="inlineStr">
        <is>
          <t>Slow down; balance first</t>
        </is>
      </c>
      <c r="J33" s="35" t="inlineStr">
        <is>
          <t>Walking lunges</t>
        </is>
      </c>
    </row>
    <row r="34">
      <c r="A34" s="35" t="inlineStr">
        <is>
          <t>Lower B</t>
        </is>
      </c>
      <c r="B34" s="35" t="n">
        <v>4</v>
      </c>
      <c r="C34" s="35" t="inlineStr">
        <is>
          <t>Cable/Machine Glute Kickback</t>
        </is>
      </c>
      <c r="D34" s="35" t="inlineStr">
        <is>
          <t>3 x 12/side</t>
        </is>
      </c>
      <c r="E34" s="35" t="inlineStr">
        <is>
          <t>3 x 10–12/side</t>
        </is>
      </c>
      <c r="F34" s="35" t="inlineStr">
        <is>
          <t>4 x 10–12/side</t>
        </is>
      </c>
      <c r="G34" s="35" t="inlineStr">
        <is>
          <t>3 x 12/side</t>
        </is>
      </c>
      <c r="H34" s="35" t="inlineStr">
        <is>
          <t>60 sec</t>
        </is>
      </c>
      <c r="I34" s="35" t="inlineStr">
        <is>
          <t>Squeeze glute at top; no lower-back arch; control the return</t>
        </is>
      </c>
      <c r="J34" s="35" t="inlineStr">
        <is>
          <t>Hip abduction machine</t>
        </is>
      </c>
    </row>
    <row r="35">
      <c r="A35" s="35" t="inlineStr">
        <is>
          <t>Lower B</t>
        </is>
      </c>
      <c r="B35" s="35" t="n">
        <v>5</v>
      </c>
      <c r="C35" s="35" t="inlineStr">
        <is>
          <t>Seated Leg Curl</t>
        </is>
      </c>
      <c r="D35" s="35" t="inlineStr">
        <is>
          <t>3 x 12</t>
        </is>
      </c>
      <c r="E35" s="35" t="inlineStr">
        <is>
          <t>3 x 12–15</t>
        </is>
      </c>
      <c r="F35" s="35" t="inlineStr">
        <is>
          <t>4 x 10–15</t>
        </is>
      </c>
      <c r="G35" s="35" t="inlineStr">
        <is>
          <t>3 x 12</t>
        </is>
      </c>
      <c r="H35" s="35" t="inlineStr">
        <is>
          <t>60 sec</t>
        </is>
      </c>
      <c r="I35" s="35" t="inlineStr">
        <is>
          <t>Do not rush</t>
        </is>
      </c>
      <c r="J35" s="35" t="inlineStr">
        <is>
          <t>Lying leg curl</t>
        </is>
      </c>
    </row>
    <row r="36">
      <c r="A36" s="35" t="inlineStr">
        <is>
          <t>Lower B</t>
        </is>
      </c>
      <c r="B36" s="35" t="n">
        <v>6</v>
      </c>
      <c r="C36" s="35" t="inlineStr">
        <is>
          <t>Calf Raise</t>
        </is>
      </c>
      <c r="D36" s="35" t="inlineStr">
        <is>
          <t>3 x 15</t>
        </is>
      </c>
      <c r="E36" s="35" t="inlineStr">
        <is>
          <t>4 x 12–15</t>
        </is>
      </c>
      <c r="F36" s="35" t="inlineStr">
        <is>
          <t>4 x 12–15</t>
        </is>
      </c>
      <c r="G36" s="35" t="inlineStr">
        <is>
          <t>3–4 x 15</t>
        </is>
      </c>
      <c r="H36" s="35" t="inlineStr">
        <is>
          <t>45 sec</t>
        </is>
      </c>
      <c r="I36" s="35" t="inlineStr">
        <is>
          <t>Full stretch</t>
        </is>
      </c>
      <c r="J36" s="35" t="inlineStr">
        <is>
          <t>Leg-press calf raise</t>
        </is>
      </c>
    </row>
    <row r="37">
      <c r="A37" s="35" t="inlineStr">
        <is>
          <t>Lower B</t>
        </is>
      </c>
      <c r="B37" s="35" t="n">
        <v>7</v>
      </c>
      <c r="C37" s="35" t="inlineStr">
        <is>
          <t>Hanging Leg Raise</t>
        </is>
      </c>
      <c r="D37" s="35" t="inlineStr">
        <is>
          <t>3 x 10</t>
        </is>
      </c>
      <c r="E37" s="35" t="inlineStr">
        <is>
          <t>3 x 10–12</t>
        </is>
      </c>
      <c r="F37" s="35" t="inlineStr">
        <is>
          <t>3–4 x 10–12</t>
        </is>
      </c>
      <c r="G37" s="35" t="inlineStr">
        <is>
          <t>3 x 12</t>
        </is>
      </c>
      <c r="H37" s="35" t="inlineStr">
        <is>
          <t>45 sec</t>
        </is>
      </c>
      <c r="I37" s="35" t="inlineStr">
        <is>
          <t>No swinging; curl pelvis toward ribs; lower slow</t>
        </is>
      </c>
      <c r="J37" s="35" t="inlineStr">
        <is>
          <t>Captain's chair knee raise</t>
        </is>
      </c>
    </row>
    <row r="38">
      <c r="A38" s="35" t="inlineStr">
        <is>
          <t>Arms (Optional / Sat)</t>
        </is>
      </c>
      <c r="B38" s="35" t="n">
        <v>1</v>
      </c>
      <c r="C38" s="35" t="inlineStr">
        <is>
          <t>EZ-Bar Curl</t>
        </is>
      </c>
      <c r="D38" s="35" t="inlineStr">
        <is>
          <t>3 x 10</t>
        </is>
      </c>
      <c r="E38" s="35" t="inlineStr">
        <is>
          <t>3 x 8–10</t>
        </is>
      </c>
      <c r="F38" s="35" t="inlineStr">
        <is>
          <t>4 x 8–10</t>
        </is>
      </c>
      <c r="G38" s="35" t="inlineStr">
        <is>
          <t>3 x 10</t>
        </is>
      </c>
      <c r="H38" s="35" t="inlineStr">
        <is>
          <t>60 sec</t>
        </is>
      </c>
      <c r="I38" s="35" t="inlineStr">
        <is>
          <t>No hip swing</t>
        </is>
      </c>
      <c r="J38" s="35" t="inlineStr">
        <is>
          <t>Cable curl</t>
        </is>
      </c>
    </row>
    <row r="39">
      <c r="A39" s="35" t="inlineStr">
        <is>
          <t>Arms (Optional / Sat)</t>
        </is>
      </c>
      <c r="B39" s="35" t="n">
        <v>2</v>
      </c>
      <c r="C39" s="35" t="inlineStr">
        <is>
          <t>Close-Grip Bench or Assisted Dip</t>
        </is>
      </c>
      <c r="D39" s="35" t="inlineStr">
        <is>
          <t>3 x 8–10</t>
        </is>
      </c>
      <c r="E39" s="35" t="inlineStr">
        <is>
          <t>3 x 8–10</t>
        </is>
      </c>
      <c r="F39" s="35" t="inlineStr">
        <is>
          <t>4 x 6–10</t>
        </is>
      </c>
      <c r="G39" s="35" t="inlineStr">
        <is>
          <t>3 x 8–10</t>
        </is>
      </c>
      <c r="H39" s="35" t="inlineStr">
        <is>
          <t>90 sec</t>
        </is>
      </c>
      <c r="I39" s="35" t="inlineStr">
        <is>
          <t>Elbows controlled</t>
        </is>
      </c>
      <c r="J39" s="35" t="inlineStr">
        <is>
          <t>Machine dip</t>
        </is>
      </c>
    </row>
    <row r="40">
      <c r="A40" s="35" t="inlineStr">
        <is>
          <t>Arms (Optional / Sat)</t>
        </is>
      </c>
      <c r="B40" s="35" t="n">
        <v>3</v>
      </c>
      <c r="C40" s="35" t="inlineStr">
        <is>
          <t>Cable Curl</t>
        </is>
      </c>
      <c r="D40" s="35" t="inlineStr">
        <is>
          <t>3 x 12</t>
        </is>
      </c>
      <c r="E40" s="35" t="inlineStr">
        <is>
          <t>3 x 12–15</t>
        </is>
      </c>
      <c r="F40" s="35" t="inlineStr">
        <is>
          <t>4 x 10–15</t>
        </is>
      </c>
      <c r="G40" s="35" t="inlineStr">
        <is>
          <t>3 x 12</t>
        </is>
      </c>
      <c r="H40" s="35" t="inlineStr">
        <is>
          <t>60 sec</t>
        </is>
      </c>
      <c r="I40" s="35" t="inlineStr">
        <is>
          <t>Full extension</t>
        </is>
      </c>
      <c r="J40" s="35" t="inlineStr">
        <is>
          <t>DB curl</t>
        </is>
      </c>
    </row>
    <row r="41">
      <c r="A41" s="35" t="inlineStr">
        <is>
          <t>Arms (Optional / Sat)</t>
        </is>
      </c>
      <c r="B41" s="35" t="n">
        <v>4</v>
      </c>
      <c r="C41" s="35" t="inlineStr">
        <is>
          <t>Rope Pushdown</t>
        </is>
      </c>
      <c r="D41" s="35" t="inlineStr">
        <is>
          <t>3 x 12</t>
        </is>
      </c>
      <c r="E41" s="35" t="inlineStr">
        <is>
          <t>3 x 12–15</t>
        </is>
      </c>
      <c r="F41" s="35" t="inlineStr">
        <is>
          <t>4 x 10–15</t>
        </is>
      </c>
      <c r="G41" s="35" t="inlineStr">
        <is>
          <t>3 x 12</t>
        </is>
      </c>
      <c r="H41" s="35" t="inlineStr">
        <is>
          <t>60 sec</t>
        </is>
      </c>
      <c r="I41" s="35" t="inlineStr">
        <is>
          <t>Split rope at bottom</t>
        </is>
      </c>
      <c r="J41" s="35" t="inlineStr">
        <is>
          <t>Straight-bar pushdown</t>
        </is>
      </c>
    </row>
    <row r="42">
      <c r="A42" s="35" t="inlineStr">
        <is>
          <t>Arms (Optional / Sat)</t>
        </is>
      </c>
      <c r="B42" s="35" t="n">
        <v>5</v>
      </c>
      <c r="C42" s="35" t="inlineStr">
        <is>
          <t>DB Lateral Raise</t>
        </is>
      </c>
      <c r="D42" s="35" t="inlineStr">
        <is>
          <t>4 x 15</t>
        </is>
      </c>
      <c r="E42" s="35" t="inlineStr">
        <is>
          <t>4 x 15–20</t>
        </is>
      </c>
      <c r="F42" s="35" t="inlineStr">
        <is>
          <t>5 x 15–20</t>
        </is>
      </c>
      <c r="G42" s="35" t="inlineStr">
        <is>
          <t>4 x 15</t>
        </is>
      </c>
      <c r="H42" s="35" t="inlineStr">
        <is>
          <t>45 sec</t>
        </is>
      </c>
      <c r="I42" s="35" t="inlineStr">
        <is>
          <t>Stop before traps dominate</t>
        </is>
      </c>
      <c r="J42" s="35" t="inlineStr">
        <is>
          <t>Machine lateral raise</t>
        </is>
      </c>
    </row>
    <row r="43">
      <c r="A43" s="35" t="inlineStr">
        <is>
          <t>Arms (Optional / Sat)</t>
        </is>
      </c>
      <c r="B43" s="35" t="n">
        <v>6</v>
      </c>
      <c r="C43" s="35" t="inlineStr">
        <is>
          <t>Rear-Delt Fly</t>
        </is>
      </c>
      <c r="D43" s="35" t="inlineStr">
        <is>
          <t>3 x 15</t>
        </is>
      </c>
      <c r="E43" s="35" t="inlineStr">
        <is>
          <t>3 x 15–20</t>
        </is>
      </c>
      <c r="F43" s="35" t="inlineStr">
        <is>
          <t>4 x 15–20</t>
        </is>
      </c>
      <c r="G43" s="35" t="inlineStr">
        <is>
          <t>3 x 15</t>
        </is>
      </c>
      <c r="H43" s="35" t="inlineStr">
        <is>
          <t>45 sec</t>
        </is>
      </c>
      <c r="I43" s="35" t="inlineStr">
        <is>
          <t>Small controlled reps</t>
        </is>
      </c>
      <c r="J43" s="35" t="inlineStr">
        <is>
          <t>Face pull</t>
        </is>
      </c>
    </row>
    <row r="44">
      <c r="A44" s="35" t="inlineStr">
        <is>
          <t>Arms (Optional / Sat)</t>
        </is>
      </c>
      <c r="B44" s="35" t="n">
        <v>7</v>
      </c>
      <c r="C44" s="35" t="inlineStr">
        <is>
          <t>Conditioning</t>
        </is>
      </c>
      <c r="D44" s="35" t="inlineStr">
        <is>
          <t>25–30 min incline walk</t>
        </is>
      </c>
      <c r="E44" s="35" t="inlineStr">
        <is>
          <t>35–40 min walk OR 8 intervals</t>
        </is>
      </c>
      <c r="F44" s="35" t="inlineStr">
        <is>
          <t>40 min walk OR 10 intervals</t>
        </is>
      </c>
      <c r="G44" s="35" t="inlineStr">
        <is>
          <t>40–45 min walk; avoid all-out sprints</t>
        </is>
      </c>
      <c r="H44" s="35" t="inlineStr">
        <is>
          <t>—</t>
        </is>
      </c>
      <c r="I44" s="35" t="inlineStr">
        <is>
          <t>Use cardio to support fat loss, not ruin recovery</t>
        </is>
      </c>
      <c r="J44" s="35" t="inlineStr">
        <is>
          <t>Bike/elliptical</t>
        </is>
      </c>
    </row>
    <row r="60">
      <c r="A60" s="33" t="inlineStr">
        <is>
          <t>Progression Rules</t>
        </is>
      </c>
      <c r="B60" s="1" t="n"/>
      <c r="C60" s="1" t="n"/>
      <c r="D60" s="1" t="n"/>
      <c r="E60" s="1" t="n"/>
      <c r="F60" s="1" t="n"/>
      <c r="G60" s="1" t="n"/>
      <c r="H60" s="1" t="n"/>
      <c r="I60" s="1" t="n"/>
      <c r="J60" s="1" t="n"/>
    </row>
    <row r="61">
      <c r="A61" s="59" t="inlineStr">
        <is>
          <t>Rule</t>
        </is>
      </c>
      <c r="B61" s="59" t="inlineStr">
        <is>
          <t>What to do</t>
        </is>
      </c>
    </row>
    <row r="62">
      <c r="A62" s="35" t="inlineStr">
        <is>
          <t>Double progression</t>
        </is>
      </c>
      <c r="B62" s="35" t="inlineStr">
        <is>
          <t>Use a weight you can do at the low end of the rep range. Add reps first. When you reach the top of the range on all sets, add 2.5–5 lb next time.</t>
        </is>
      </c>
    </row>
    <row r="63">
      <c r="A63" s="35" t="inlineStr">
        <is>
          <t>RPE</t>
        </is>
      </c>
      <c r="B63" s="35" t="inlineStr">
        <is>
          <t>RPE 7 means about 3 reps left; RPE 8 means about 2 reps left; avoid true failure except occasional accessories.</t>
        </is>
      </c>
    </row>
    <row r="64">
      <c r="A64" s="35" t="inlineStr">
        <is>
          <t>Rest</t>
        </is>
      </c>
      <c r="B64" s="35" t="inlineStr">
        <is>
          <t>Rest longer on compound lifts. Do not turn heavy sets into cardio.</t>
        </is>
      </c>
    </row>
    <row r="65">
      <c r="A65" s="35" t="inlineStr">
        <is>
          <t>Warm-up</t>
        </is>
      </c>
      <c r="B65" s="35" t="inlineStr">
        <is>
          <t>5–8 min easy cardio + 2–4 warm-up sets for the first big lift.</t>
        </is>
      </c>
    </row>
    <row r="66">
      <c r="A66" s="35" t="inlineStr">
        <is>
          <t>Deload if needed</t>
        </is>
      </c>
      <c r="B66" s="35" t="inlineStr">
        <is>
          <t>If sleep is bad, joints hurt, or performance drops 2 sessions in a row, reduce accessories by 30% for 3–4 days.</t>
        </is>
      </c>
    </row>
  </sheetData>
  <mergeCells count="2">
    <mergeCell ref="A1:J1"/>
    <mergeCell ref="A60:J60"/>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28" customWidth="1" style="74" min="1" max="1"/>
    <col width="12" customWidth="1" style="74" min="2" max="2"/>
    <col width="12" customWidth="1" style="74" min="3" max="3"/>
    <col width="14" customWidth="1" style="74" min="4" max="4"/>
    <col width="48" customWidth="1" style="74" min="5" max="5"/>
    <col width="48" customWidth="1" style="74" min="6" max="6"/>
    <col width="24" customWidth="1" style="74" min="7" max="7"/>
    <col width="36" customWidth="1" style="74" min="8" max="8"/>
  </cols>
  <sheetData>
    <row r="1" ht="28" customHeight="1" s="74">
      <c r="A1" s="11" t="inlineStr">
        <is>
          <t>Recipes, Snacks + Approximate Macros</t>
        </is>
      </c>
      <c r="B1" s="1" t="n"/>
      <c r="C1" s="1" t="n"/>
      <c r="D1" s="1" t="n"/>
      <c r="E1" s="1" t="n"/>
      <c r="F1" s="1" t="n"/>
      <c r="G1" s="1" t="n"/>
      <c r="H1" s="1" t="n"/>
      <c r="I1" s="34" t="n"/>
      <c r="J1" s="34" t="n"/>
      <c r="K1" s="34" t="n"/>
    </row>
    <row r="2">
      <c r="A2" s="42" t="inlineStr">
        <is>
          <t>Meal Name</t>
        </is>
      </c>
      <c r="B2" s="42" t="inlineStr">
        <is>
          <t>Calories</t>
        </is>
      </c>
      <c r="C2" s="42" t="inlineStr">
        <is>
          <t>Protein g</t>
        </is>
      </c>
      <c r="D2" s="42" t="inlineStr">
        <is>
          <t>Type</t>
        </is>
      </c>
      <c r="E2" s="42" t="inlineStr">
        <is>
          <t>Ingredients</t>
        </is>
      </c>
      <c r="F2" s="42" t="inlineStr">
        <is>
          <t>How to make</t>
        </is>
      </c>
      <c r="G2" s="42" t="inlineStr">
        <is>
          <t>Best use</t>
        </is>
      </c>
      <c r="H2" s="42" t="inlineStr">
        <is>
          <t>Notes</t>
        </is>
      </c>
    </row>
    <row r="3">
      <c r="A3" s="35" t="inlineStr">
        <is>
          <t>Protein Oatmeal</t>
        </is>
      </c>
      <c r="B3" s="107" t="n">
        <v>510</v>
      </c>
      <c r="C3" s="107" t="n">
        <v>35</v>
      </c>
      <c r="D3" s="35" t="inlineStr">
        <is>
          <t>Breakfast</t>
        </is>
      </c>
      <c r="E3" s="35" t="inlineStr">
        <is>
          <t>1/2 cup oats; 1 scoop whey; 1 banana; 1 tbsp peanut butter; cinnamon</t>
        </is>
      </c>
      <c r="F3" s="35" t="inlineStr">
        <is>
          <t>Cook oats with water/milk, stir in whey after cooling slightly, add banana and peanut butter.</t>
        </is>
      </c>
      <c r="G3" s="35" t="inlineStr">
        <is>
          <t>Training days</t>
        </is>
      </c>
      <c r="H3" s="35" t="inlineStr">
        <is>
          <t>Easy dorm breakfast.</t>
        </is>
      </c>
    </row>
    <row r="4">
      <c r="A4" s="35" t="inlineStr">
        <is>
          <t>Greek Yogurt Protein Bowl</t>
        </is>
      </c>
      <c r="B4" s="107" t="n">
        <v>500</v>
      </c>
      <c r="C4" s="107" t="n">
        <v>40</v>
      </c>
      <c r="D4" s="35" t="inlineStr">
        <is>
          <t>Breakfast</t>
        </is>
      </c>
      <c r="E4" s="35" t="inlineStr">
        <is>
          <t>300g nonfat Greek yogurt; 40g oats/granola; berries; 1 tbsp peanut butter</t>
        </is>
      </c>
      <c r="F4" s="35" t="inlineStr">
        <is>
          <t>Mix yogurt + berries; add oats/granola and peanut butter.</t>
        </is>
      </c>
      <c r="G4" s="35" t="inlineStr">
        <is>
          <t>Any day</t>
        </is>
      </c>
      <c r="H4" s="35" t="inlineStr">
        <is>
          <t>Use less peanut butter if weight stalls.</t>
        </is>
      </c>
    </row>
    <row r="5">
      <c r="A5" s="35" t="inlineStr">
        <is>
          <t>Egg Turkey Toast Plate</t>
        </is>
      </c>
      <c r="B5" s="107" t="n">
        <v>455</v>
      </c>
      <c r="C5" s="107" t="n">
        <v>46</v>
      </c>
      <c r="D5" s="35" t="inlineStr">
        <is>
          <t>Breakfast</t>
        </is>
      </c>
      <c r="E5" s="35" t="inlineStr">
        <is>
          <t>2 eggs; 150g egg whites; 2 slices whole wheat toast; turkey slices; spinach/salsa</t>
        </is>
      </c>
      <c r="F5" s="35" t="inlineStr">
        <is>
          <t>Scramble eggs/egg whites with spinach; toast bread; add turkey slices.</t>
        </is>
      </c>
      <c r="G5" s="35" t="inlineStr">
        <is>
          <t>High-protein morning</t>
        </is>
      </c>
      <c r="H5" s="35" t="inlineStr">
        <is>
          <t>Good when appetite is high.</t>
        </is>
      </c>
    </row>
    <row r="6">
      <c r="A6" s="35" t="inlineStr">
        <is>
          <t>Chicken Rice Bowl</t>
        </is>
      </c>
      <c r="B6" s="107" t="n">
        <v>625</v>
      </c>
      <c r="C6" s="107" t="n">
        <v>57</v>
      </c>
      <c r="D6" s="35" t="inlineStr">
        <is>
          <t>Lunch/Dinner</t>
        </is>
      </c>
      <c r="E6" s="35" t="inlineStr">
        <is>
          <t>180g cooked chicken breast; 1 cup cooked rice; frozen vegetables; salsa; 1 tsp olive oil</t>
        </is>
      </c>
      <c r="F6" s="35" t="inlineStr">
        <is>
          <t>Cook chicken in bulk; microwave rice/veg; combine with salsa and measured oil.</t>
        </is>
      </c>
      <c r="G6" s="35" t="inlineStr">
        <is>
          <t>Meal prep staple</t>
        </is>
      </c>
      <c r="H6" s="35" t="inlineStr">
        <is>
          <t>Cheapest reliable main meal.</t>
        </is>
      </c>
    </row>
    <row r="7">
      <c r="A7" s="35" t="inlineStr">
        <is>
          <t>Ground Turkey Pasta</t>
        </is>
      </c>
      <c r="B7" s="107" t="n">
        <v>640</v>
      </c>
      <c r="C7" s="107" t="n">
        <v>50</v>
      </c>
      <c r="D7" s="35" t="inlineStr">
        <is>
          <t>Lunch/Dinner</t>
        </is>
      </c>
      <c r="E7" s="35" t="inlineStr">
        <is>
          <t>170g 93% ground turkey; 2 oz dry pasta; marinara; vegetables; parmesan optional</t>
        </is>
      </c>
      <c r="F7" s="35" t="inlineStr">
        <is>
          <t>Brown turkey; boil pasta; mix with marinara and vegetables.</t>
        </is>
      </c>
      <c r="G7" s="35" t="inlineStr">
        <is>
          <t>Post-workout dinner</t>
        </is>
      </c>
      <c r="H7" s="35" t="inlineStr">
        <is>
          <t>Keep pasta portion measured.</t>
        </is>
      </c>
    </row>
    <row r="8">
      <c r="A8" s="35" t="inlineStr">
        <is>
          <t>Tuna Greek Yogurt Wrap</t>
        </is>
      </c>
      <c r="B8" s="107" t="n">
        <v>530</v>
      </c>
      <c r="C8" s="107" t="n">
        <v>42</v>
      </c>
      <c r="D8" s="35" t="inlineStr">
        <is>
          <t>Lunch/Dinner</t>
        </is>
      </c>
      <c r="E8" s="35" t="inlineStr">
        <is>
          <t>1 large whole-wheat tortilla; 1 tuna can; Greek yogurt; pickles/cucumber; lettuce; fruit</t>
        </is>
      </c>
      <c r="F8" s="35" t="inlineStr">
        <is>
          <t>Mix tuna with Greek yogurt and seasoning; wrap with vegetables; add fruit.</t>
        </is>
      </c>
      <c r="G8" s="35" t="inlineStr">
        <is>
          <t>Quick lunch</t>
        </is>
      </c>
      <c r="H8" s="35" t="inlineStr">
        <is>
          <t>Cheap and no heavy cooking.</t>
        </is>
      </c>
    </row>
    <row r="9">
      <c r="A9" s="35" t="inlineStr">
        <is>
          <t>Salmon Potato Plate</t>
        </is>
      </c>
      <c r="B9" s="107" t="n">
        <v>660</v>
      </c>
      <c r="C9" s="107" t="n">
        <v>46</v>
      </c>
      <c r="D9" s="35" t="inlineStr">
        <is>
          <t>Lunch/Dinner</t>
        </is>
      </c>
      <c r="E9" s="35" t="inlineStr">
        <is>
          <t>5 oz salmon/fish; 300g potatoes; broccoli; 1 tsp olive oil</t>
        </is>
      </c>
      <c r="F9" s="35" t="inlineStr">
        <is>
          <t>Bake or pan-cook salmon; boil/air-fry potatoes; steam broccoli.</t>
        </is>
      </c>
      <c r="G9" s="35" t="inlineStr">
        <is>
          <t>1–2x/week</t>
        </is>
      </c>
      <c r="H9" s="35" t="inlineStr">
        <is>
          <t>More expensive but great nutrition.</t>
        </is>
      </c>
    </row>
    <row r="10">
      <c r="A10" s="35" t="inlineStr">
        <is>
          <t>Lean Beef Potato Bowl</t>
        </is>
      </c>
      <c r="B10" s="107" t="n">
        <v>630</v>
      </c>
      <c r="C10" s="107" t="n">
        <v>45</v>
      </c>
      <c r="D10" s="35" t="inlineStr">
        <is>
          <t>Lunch/Dinner</t>
        </is>
      </c>
      <c r="E10" s="35" t="inlineStr">
        <is>
          <t>170g lean beef; 300g potatoes; peppers/onions; Greek-yogurt sauce</t>
        </is>
      </c>
      <c r="F10" s="35" t="inlineStr">
        <is>
          <t>Cook beef with vegetables; serve over potatoes; add yogurt sauce.</t>
        </is>
      </c>
      <c r="G10" s="35" t="inlineStr">
        <is>
          <t>Leg days</t>
        </is>
      </c>
      <c r="H10" s="35" t="inlineStr">
        <is>
          <t>Use turkey if beef is expensive.</t>
        </is>
      </c>
    </row>
    <row r="11">
      <c r="A11" s="35" t="inlineStr">
        <is>
          <t>Chicken Salad Wrap</t>
        </is>
      </c>
      <c r="B11" s="107" t="n">
        <v>560</v>
      </c>
      <c r="C11" s="107" t="n">
        <v>50</v>
      </c>
      <c r="D11" s="35" t="inlineStr">
        <is>
          <t>Lunch/Dinner</t>
        </is>
      </c>
      <c r="E11" s="35" t="inlineStr">
        <is>
          <t>150g chicken; salad kit or spinach; whole-wheat wrap; Greek yogurt/salsa sauce</t>
        </is>
      </c>
      <c r="F11" s="35" t="inlineStr">
        <is>
          <t>Wrap chicken and salad; use Greek yogurt-based sauce.</t>
        </is>
      </c>
      <c r="G11" s="35" t="inlineStr">
        <is>
          <t>Light dinner</t>
        </is>
      </c>
      <c r="H11" s="35" t="inlineStr">
        <is>
          <t>Very convenient.</t>
        </is>
      </c>
    </row>
    <row r="12">
      <c r="A12" s="35" t="inlineStr">
        <is>
          <t>Cottage Cheese Fruit Bowl</t>
        </is>
      </c>
      <c r="B12" s="107" t="n">
        <v>260</v>
      </c>
      <c r="C12" s="107" t="n">
        <v>28</v>
      </c>
      <c r="D12" s="35" t="inlineStr">
        <is>
          <t>Snack</t>
        </is>
      </c>
      <c r="E12" s="35" t="inlineStr">
        <is>
          <t>1 cup cottage cheese; berries or apple; cinnamon</t>
        </is>
      </c>
      <c r="F12" s="35" t="inlineStr">
        <is>
          <t>Mix and eat cold.</t>
        </is>
      </c>
      <c r="G12" s="35" t="inlineStr">
        <is>
          <t>Evening snack</t>
        </is>
      </c>
      <c r="H12" s="35" t="inlineStr">
        <is>
          <t>High protein, low effort.</t>
        </is>
      </c>
    </row>
    <row r="13">
      <c r="A13" s="35" t="inlineStr">
        <is>
          <t>Whey Shake + Banana</t>
        </is>
      </c>
      <c r="B13" s="107" t="n">
        <v>225</v>
      </c>
      <c r="C13" s="107" t="n">
        <v>25</v>
      </c>
      <c r="D13" s="35" t="inlineStr">
        <is>
          <t>Snack</t>
        </is>
      </c>
      <c r="E13" s="35" t="inlineStr">
        <is>
          <t>1 scoop whey; water; 1 banana</t>
        </is>
      </c>
      <c r="F13" s="35" t="inlineStr">
        <is>
          <t>Shake whey with water; eat banana.</t>
        </is>
      </c>
      <c r="G13" s="35" t="inlineStr">
        <is>
          <t>Post-workout or busy day</t>
        </is>
      </c>
      <c r="H13" s="35" t="inlineStr">
        <is>
          <t>Most convenient protein.</t>
        </is>
      </c>
    </row>
    <row r="14">
      <c r="A14" s="35" t="inlineStr">
        <is>
          <t>Greek Yogurt + Apple</t>
        </is>
      </c>
      <c r="B14" s="107" t="n">
        <v>220</v>
      </c>
      <c r="C14" s="107" t="n">
        <v>20</v>
      </c>
      <c r="D14" s="35" t="inlineStr">
        <is>
          <t>Snack</t>
        </is>
      </c>
      <c r="E14" s="35" t="inlineStr">
        <is>
          <t>200g Greek yogurt; 1 apple</t>
        </is>
      </c>
      <c r="F14" s="35" t="inlineStr">
        <is>
          <t>Eat as snack.</t>
        </is>
      </c>
      <c r="G14" s="35" t="inlineStr">
        <is>
          <t>Between meals</t>
        </is>
      </c>
      <c r="H14" s="35" t="inlineStr">
        <is>
          <t>Good sweet craving control.</t>
        </is>
      </c>
    </row>
    <row r="15">
      <c r="A15" s="35" t="inlineStr">
        <is>
          <t>Boiled Eggs + Fruit</t>
        </is>
      </c>
      <c r="B15" s="107" t="n">
        <v>250</v>
      </c>
      <c r="C15" s="107" t="n">
        <v>12</v>
      </c>
      <c r="D15" s="35" t="inlineStr">
        <is>
          <t>Snack</t>
        </is>
      </c>
      <c r="E15" s="35" t="inlineStr">
        <is>
          <t>2 boiled eggs; 1 apple/banana/orange</t>
        </is>
      </c>
      <c r="F15" s="35" t="inlineStr">
        <is>
          <t>Boil eggs in batch.</t>
        </is>
      </c>
      <c r="G15" s="35" t="inlineStr">
        <is>
          <t>Rest day snack</t>
        </is>
      </c>
      <c r="H15" s="35" t="inlineStr">
        <is>
          <t>Higher fat, lower protein.</t>
        </is>
      </c>
    </row>
    <row r="16">
      <c r="A16" s="35" t="inlineStr">
        <is>
          <t>Protein Bar Emergency</t>
        </is>
      </c>
      <c r="B16" s="107" t="n">
        <v>200</v>
      </c>
      <c r="C16" s="107" t="n">
        <v>20</v>
      </c>
      <c r="D16" s="35" t="inlineStr">
        <is>
          <t>Snack</t>
        </is>
      </c>
      <c r="E16" s="35" t="inlineStr">
        <is>
          <t>Any bar around 180–220 kcal and 18–22g protein</t>
        </is>
      </c>
      <c r="F16" s="35" t="inlineStr">
        <is>
          <t>Use when you cannot cook.</t>
        </is>
      </c>
      <c r="G16" s="35" t="inlineStr">
        <is>
          <t>Travel/busy days</t>
        </is>
      </c>
      <c r="H16" s="35" t="inlineStr">
        <is>
          <t>Not daily if trying to save money.</t>
        </is>
      </c>
    </row>
    <row r="20">
      <c r="A20" s="33" t="inlineStr">
        <is>
          <t>Macro Note</t>
        </is>
      </c>
      <c r="B20" s="1" t="n"/>
      <c r="C20" s="1" t="n"/>
      <c r="D20" s="1" t="n"/>
      <c r="E20" s="1" t="n"/>
      <c r="F20" s="1" t="n"/>
      <c r="G20" s="1" t="n"/>
      <c r="H20" s="1" t="n"/>
    </row>
    <row r="21">
      <c r="A21" s="35" t="inlineStr">
        <is>
          <t>Approximation</t>
        </is>
      </c>
      <c r="B21" s="35" t="inlineStr">
        <is>
          <t>Macros are estimates. Target packages and brand labels can vary. For weight loss, the most important tracking items are oil, peanut butter, nuts, cheese, sauces, pasta, rice, and bread.</t>
        </is>
      </c>
    </row>
    <row r="22">
      <c r="A22" s="35" t="inlineStr">
        <is>
          <t>Source note</t>
        </is>
      </c>
      <c r="B22" s="35" t="inlineStr">
        <is>
          <t>For generic nutrition cross-checks: USDA FoodData Central — https://fdc.nal.usda.gov/</t>
        </is>
      </c>
    </row>
  </sheetData>
  <mergeCells count="2">
    <mergeCell ref="A20:H20"/>
    <mergeCell ref="A1:H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58"/>
  <sheetViews>
    <sheetView workbookViewId="0">
      <selection activeCell="A1" sqref="A1"/>
    </sheetView>
  </sheetViews>
  <sheetFormatPr baseColWidth="8" defaultRowHeight="15"/>
  <cols>
    <col width="12" customWidth="1" style="74" min="1" max="1"/>
    <col width="8" customWidth="1" style="74" min="2" max="2"/>
    <col width="18" customWidth="1" style="74" min="3" max="3"/>
    <col width="26" customWidth="1" style="74" min="4" max="4"/>
    <col width="26" customWidth="1" style="74" min="5" max="5"/>
    <col width="26" customWidth="1" style="74" min="6" max="6"/>
    <col width="24" customWidth="1" style="74" min="7" max="7"/>
    <col width="24" customWidth="1" style="74" min="8" max="8"/>
    <col width="15" customWidth="1" style="74" min="9" max="9"/>
    <col width="12" customWidth="1" style="74" min="10" max="10"/>
    <col width="32" customWidth="1" style="74" min="11" max="11"/>
    <col width="18" customWidth="1" style="74" min="12" max="12"/>
    <col width="18" customWidth="1" style="74" min="13" max="13"/>
    <col width="18" customWidth="1" style="74" min="14" max="14"/>
    <col width="18" customWidth="1" style="74" min="15" max="15"/>
    <col width="18" customWidth="1" style="74" min="16" max="16"/>
    <col width="18" customWidth="1" style="74" min="17" max="17"/>
    <col width="38" customWidth="1" style="74" min="18" max="18"/>
  </cols>
  <sheetData>
    <row r="1" ht="24" customHeight="1" s="74">
      <c r="A1" s="11" t="inlineStr">
        <is>
          <t>8-Week Meal Calendar</t>
        </is>
      </c>
      <c r="B1" s="1" t="n"/>
      <c r="C1" s="1" t="n"/>
      <c r="D1" s="1" t="n"/>
      <c r="E1" s="1" t="n"/>
      <c r="F1" s="1" t="n"/>
      <c r="G1" s="1" t="n"/>
      <c r="H1" s="1" t="n"/>
      <c r="I1" s="1" t="n"/>
      <c r="J1" s="1" t="n"/>
      <c r="K1" s="1" t="n"/>
      <c r="L1" s="108" t="inlineStr">
        <is>
          <t>Meal Timing Based on 4:00 AM Wake-Up</t>
        </is>
      </c>
      <c r="M1" s="1" t="n"/>
      <c r="N1" s="1" t="n"/>
      <c r="O1" s="1" t="n"/>
      <c r="P1" s="1" t="n"/>
      <c r="Q1" s="1" t="n"/>
      <c r="R1" s="1" t="n"/>
    </row>
    <row r="2" ht="24" customHeight="1" s="74">
      <c r="A2" s="42" t="inlineStr">
        <is>
          <t>Date</t>
        </is>
      </c>
      <c r="B2" s="42" t="inlineStr">
        <is>
          <t>Week</t>
        </is>
      </c>
      <c r="C2" s="42" t="inlineStr">
        <is>
          <t>Training Day</t>
        </is>
      </c>
      <c r="D2" s="42" t="inlineStr">
        <is>
          <t>Breakfast</t>
        </is>
      </c>
      <c r="E2" s="42" t="inlineStr">
        <is>
          <t>Lunch</t>
        </is>
      </c>
      <c r="F2" s="42" t="inlineStr">
        <is>
          <t>Dinner</t>
        </is>
      </c>
      <c r="G2" s="42" t="inlineStr">
        <is>
          <t>Snack 1</t>
        </is>
      </c>
      <c r="H2" s="42" t="inlineStr">
        <is>
          <t>Snack 2</t>
        </is>
      </c>
      <c r="I2" s="42" t="inlineStr">
        <is>
          <t>Approx Calories</t>
        </is>
      </c>
      <c r="J2" s="42" t="inlineStr">
        <is>
          <t>Protein g</t>
        </is>
      </c>
      <c r="K2" s="42" t="inlineStr">
        <is>
          <t>Notes</t>
        </is>
      </c>
      <c r="L2" s="83" t="inlineStr">
        <is>
          <t>Wake / Early Work</t>
        </is>
      </c>
      <c r="M2" s="83" t="inlineStr">
        <is>
          <t>Meal 1 Time</t>
        </is>
      </c>
      <c r="N2" s="83" t="inlineStr">
        <is>
          <t>Gym Window</t>
        </is>
      </c>
      <c r="O2" s="83" t="inlineStr">
        <is>
          <t>Meal 2 Time</t>
        </is>
      </c>
      <c r="P2" s="83" t="inlineStr">
        <is>
          <t>Snack Time</t>
        </is>
      </c>
      <c r="Q2" s="83" t="inlineStr">
        <is>
          <t>Meal 3 Time</t>
        </is>
      </c>
      <c r="R2" s="83" t="inlineStr">
        <is>
          <t>Timing Notes</t>
        </is>
      </c>
    </row>
    <row r="3">
      <c r="A3" s="106" t="n">
        <v>46189</v>
      </c>
      <c r="B3" s="35" t="n">
        <v>1</v>
      </c>
      <c r="C3" s="35" t="inlineStr">
        <is>
          <t>Push</t>
        </is>
      </c>
      <c r="D3" s="35" t="inlineStr">
        <is>
          <t>Egg Turkey Toast Plate</t>
        </is>
      </c>
      <c r="E3" s="35" t="inlineStr">
        <is>
          <t>Chicken Rice Bowl</t>
        </is>
      </c>
      <c r="F3" s="35" t="inlineStr">
        <is>
          <t>Ground Turkey Pasta</t>
        </is>
      </c>
      <c r="G3" s="35" t="inlineStr">
        <is>
          <t>Greek Yogurt + Apple</t>
        </is>
      </c>
      <c r="H3" s="35" t="str"/>
      <c r="I3" s="107">
        <f>IFERROR(XLOOKUP(D3,'Recipes Snacks'!$A$3:$A$16,'Recipes Snacks'!$B$3:$B$16),0)+IFERROR(XLOOKUP(E3,'Recipes Snacks'!$A$3:$A$16,'Recipes Snacks'!$B$3:$B$16),0)+IFERROR(XLOOKUP(F3,'Recipes Snacks'!$A$3:$A$16,'Recipes Snacks'!$B$3:$B$16),0)+IFERROR(XLOOKUP(G3,'Recipes Snacks'!$A$3:$A$16,'Recipes Snacks'!$B$3:$B$16),0)+IFERROR(XLOOKUP(H3,'Recipes Snacks'!$A$3:$A$16,'Recipes Snacks'!$B$3:$B$16),0)</f>
        <v/>
      </c>
      <c r="J3" s="107">
        <f>IFERROR(XLOOKUP(D3,'Recipes Snacks'!$A$3:$A$16,'Recipes Snacks'!$C$3:$C$16),0)+IFERROR(XLOOKUP(E3,'Recipes Snacks'!$A$3:$A$16,'Recipes Snacks'!$C$3:$C$16),0)+IFERROR(XLOOKUP(F3,'Recipes Snacks'!$A$3:$A$16,'Recipes Snacks'!$C$3:$C$16),0)+IFERROR(XLOOKUP(G3,'Recipes Snacks'!$A$3:$A$16,'Recipes Snacks'!$C$3:$C$16),0)+IFERROR(XLOOKUP(H3,'Recipes Snacks'!$A$3:$A$16,'Recipes Snacks'!$C$3:$C$16),0)</f>
        <v/>
      </c>
      <c r="K3" s="35" t="inlineStr">
        <is>
          <t>≈1,940 kcal. Add fruit only if training energy is low.</t>
        </is>
      </c>
      <c r="L3" s="34" t="inlineStr">
        <is>
          <t>4:00 AM wake; water + coffee/tea</t>
        </is>
      </c>
      <c r="M3" s="34" t="inlineStr">
        <is>
          <t>8:30 AM pre-workout breakfast</t>
        </is>
      </c>
      <c r="N3" s="34" t="inlineStr">
        <is>
          <t>9:45–11:00 AM</t>
        </is>
      </c>
      <c r="O3" s="34" t="inlineStr">
        <is>
          <t>12:00 PM post-workout lunch</t>
        </is>
      </c>
      <c r="P3" s="34" t="inlineStr">
        <is>
          <t>3:30 PM</t>
        </is>
      </c>
      <c r="Q3" s="34" t="inlineStr">
        <is>
          <t>7:00 PM</t>
        </is>
      </c>
      <c r="R3" s="34" t="inlineStr">
        <is>
          <t>Best default: lift after work block, then eat lunch within 1–2 hours.</t>
        </is>
      </c>
    </row>
    <row r="4">
      <c r="A4" s="106" t="n">
        <v>46190</v>
      </c>
      <c r="B4" s="35" t="n">
        <v>1</v>
      </c>
      <c r="C4" s="35" t="inlineStr">
        <is>
          <t>Pull</t>
        </is>
      </c>
      <c r="D4" s="35" t="inlineStr">
        <is>
          <t>Greek Yogurt Protein Bowl</t>
        </is>
      </c>
      <c r="E4" s="35" t="inlineStr">
        <is>
          <t>Tuna Greek Yogurt Wrap</t>
        </is>
      </c>
      <c r="F4" s="35" t="inlineStr">
        <is>
          <t>Chicken Rice Bowl</t>
        </is>
      </c>
      <c r="G4" s="35" t="inlineStr">
        <is>
          <t>Cottage Cheese Fruit Bowl</t>
        </is>
      </c>
      <c r="H4" s="35" t="str"/>
      <c r="I4" s="107">
        <f>IFERROR(XLOOKUP(D4,'Recipes Snacks'!$A$3:$A$16,'Recipes Snacks'!$B$3:$B$16),0)+IFERROR(XLOOKUP(E4,'Recipes Snacks'!$A$3:$A$16,'Recipes Snacks'!$B$3:$B$16),0)+IFERROR(XLOOKUP(F4,'Recipes Snacks'!$A$3:$A$16,'Recipes Snacks'!$B$3:$B$16),0)+IFERROR(XLOOKUP(G4,'Recipes Snacks'!$A$3:$A$16,'Recipes Snacks'!$B$3:$B$16),0)+IFERROR(XLOOKUP(H4,'Recipes Snacks'!$A$3:$A$16,'Recipes Snacks'!$B$3:$B$16),0)</f>
        <v/>
      </c>
      <c r="J4" s="107">
        <f>IFERROR(XLOOKUP(D4,'Recipes Snacks'!$A$3:$A$16,'Recipes Snacks'!$C$3:$C$16),0)+IFERROR(XLOOKUP(E4,'Recipes Snacks'!$A$3:$A$16,'Recipes Snacks'!$C$3:$C$16),0)+IFERROR(XLOOKUP(F4,'Recipes Snacks'!$A$3:$A$16,'Recipes Snacks'!$C$3:$C$16),0)+IFERROR(XLOOKUP(G4,'Recipes Snacks'!$A$3:$A$16,'Recipes Snacks'!$C$3:$C$16),0)+IFERROR(XLOOKUP(H4,'Recipes Snacks'!$A$3:$A$16,'Recipes Snacks'!$C$3:$C$16),0)</f>
        <v/>
      </c>
      <c r="K4" s="35" t="inlineStr">
        <is>
          <t>≈1,915 kcal. Good protein day.</t>
        </is>
      </c>
      <c r="L4" s="34" t="inlineStr">
        <is>
          <t>4:00 AM wake; water + coffee/tea</t>
        </is>
      </c>
      <c r="M4" s="34" t="inlineStr">
        <is>
          <t>8:30 AM pre-workout breakfast</t>
        </is>
      </c>
      <c r="N4" s="34" t="inlineStr">
        <is>
          <t>9:45–11:00 AM</t>
        </is>
      </c>
      <c r="O4" s="34" t="inlineStr">
        <is>
          <t>12:00 PM post-workout lunch</t>
        </is>
      </c>
      <c r="P4" s="34" t="inlineStr">
        <is>
          <t>3:30 PM</t>
        </is>
      </c>
      <c r="Q4" s="34" t="inlineStr">
        <is>
          <t>7:00 PM</t>
        </is>
      </c>
      <c r="R4" s="34" t="inlineStr">
        <is>
          <t>Best default: lift after work block, then eat lunch within 1–2 hours.</t>
        </is>
      </c>
    </row>
    <row r="5">
      <c r="A5" s="106" t="n">
        <v>46191</v>
      </c>
      <c r="B5" s="35" t="n">
        <v>1</v>
      </c>
      <c r="C5" s="35" t="inlineStr">
        <is>
          <t>Legs</t>
        </is>
      </c>
      <c r="D5" s="35" t="inlineStr">
        <is>
          <t>Protein Oatmeal</t>
        </is>
      </c>
      <c r="E5" s="35" t="inlineStr">
        <is>
          <t>Chicken Rice Bowl</t>
        </is>
      </c>
      <c r="F5" s="35" t="inlineStr">
        <is>
          <t>Lean Beef Potato Bowl</t>
        </is>
      </c>
      <c r="G5" s="35" t="inlineStr">
        <is>
          <t>Whey Shake + Banana</t>
        </is>
      </c>
      <c r="H5" s="35" t="str"/>
      <c r="I5" s="107">
        <f>IFERROR(XLOOKUP(D5,'Recipes Snacks'!$A$3:$A$16,'Recipes Snacks'!$B$3:$B$16),0)+IFERROR(XLOOKUP(E5,'Recipes Snacks'!$A$3:$A$16,'Recipes Snacks'!$B$3:$B$16),0)+IFERROR(XLOOKUP(F5,'Recipes Snacks'!$A$3:$A$16,'Recipes Snacks'!$B$3:$B$16),0)+IFERROR(XLOOKUP(G5,'Recipes Snacks'!$A$3:$A$16,'Recipes Snacks'!$B$3:$B$16),0)+IFERROR(XLOOKUP(H5,'Recipes Snacks'!$A$3:$A$16,'Recipes Snacks'!$B$3:$B$16),0)</f>
        <v/>
      </c>
      <c r="J5" s="107">
        <f>IFERROR(XLOOKUP(D5,'Recipes Snacks'!$A$3:$A$16,'Recipes Snacks'!$C$3:$C$16),0)+IFERROR(XLOOKUP(E5,'Recipes Snacks'!$A$3:$A$16,'Recipes Snacks'!$C$3:$C$16),0)+IFERROR(XLOOKUP(F5,'Recipes Snacks'!$A$3:$A$16,'Recipes Snacks'!$C$3:$C$16),0)+IFERROR(XLOOKUP(G5,'Recipes Snacks'!$A$3:$A$16,'Recipes Snacks'!$C$3:$C$16),0)+IFERROR(XLOOKUP(H5,'Recipes Snacks'!$A$3:$A$16,'Recipes Snacks'!$C$3:$C$16),0)</f>
        <v/>
      </c>
      <c r="K5" s="35" t="inlineStr">
        <is>
          <t>≈1,990 kcal. Highest-carb leg day.</t>
        </is>
      </c>
      <c r="L5" s="34" t="inlineStr">
        <is>
          <t>4:00 AM wake; water + coffee/tea</t>
        </is>
      </c>
      <c r="M5" s="34" t="inlineStr">
        <is>
          <t>8:30 AM pre-workout breakfast</t>
        </is>
      </c>
      <c r="N5" s="34" t="inlineStr">
        <is>
          <t>9:45–11:15 AM</t>
        </is>
      </c>
      <c r="O5" s="34" t="inlineStr">
        <is>
          <t>12:15 PM post-workout lunch</t>
        </is>
      </c>
      <c r="P5" s="34" t="inlineStr">
        <is>
          <t>3:45 PM</t>
        </is>
      </c>
      <c r="Q5" s="34" t="inlineStr">
        <is>
          <t>7:00 PM</t>
        </is>
      </c>
      <c r="R5" s="34" t="inlineStr">
        <is>
          <t>Hard lower-body day: keep breakfast/lunch carbs; do not skip lunch.</t>
        </is>
      </c>
    </row>
    <row r="6">
      <c r="A6" s="106" t="n">
        <v>46192</v>
      </c>
      <c r="B6" s="35" t="n">
        <v>1</v>
      </c>
      <c r="C6" s="35" t="inlineStr">
        <is>
          <t>Upper</t>
        </is>
      </c>
      <c r="D6" s="35" t="inlineStr">
        <is>
          <t>Egg Turkey Toast Plate</t>
        </is>
      </c>
      <c r="E6" s="35" t="inlineStr">
        <is>
          <t>Ground Turkey Pasta</t>
        </is>
      </c>
      <c r="F6" s="35" t="inlineStr">
        <is>
          <t>Chicken Salad Wrap</t>
        </is>
      </c>
      <c r="G6" s="35" t="inlineStr">
        <is>
          <t>Cottage Cheese Fruit Bowl</t>
        </is>
      </c>
      <c r="H6" s="35" t="str"/>
      <c r="I6" s="107">
        <f>IFERROR(XLOOKUP(D6,'Recipes Snacks'!$A$3:$A$16,'Recipes Snacks'!$B$3:$B$16),0)+IFERROR(XLOOKUP(E6,'Recipes Snacks'!$A$3:$A$16,'Recipes Snacks'!$B$3:$B$16),0)+IFERROR(XLOOKUP(F6,'Recipes Snacks'!$A$3:$A$16,'Recipes Snacks'!$B$3:$B$16),0)+IFERROR(XLOOKUP(G6,'Recipes Snacks'!$A$3:$A$16,'Recipes Snacks'!$B$3:$B$16),0)+IFERROR(XLOOKUP(H6,'Recipes Snacks'!$A$3:$A$16,'Recipes Snacks'!$B$3:$B$16),0)</f>
        <v/>
      </c>
      <c r="J6" s="107">
        <f>IFERROR(XLOOKUP(D6,'Recipes Snacks'!$A$3:$A$16,'Recipes Snacks'!$C$3:$C$16),0)+IFERROR(XLOOKUP(E6,'Recipes Snacks'!$A$3:$A$16,'Recipes Snacks'!$C$3:$C$16),0)+IFERROR(XLOOKUP(F6,'Recipes Snacks'!$A$3:$A$16,'Recipes Snacks'!$C$3:$C$16),0)+IFERROR(XLOOKUP(G6,'Recipes Snacks'!$A$3:$A$16,'Recipes Snacks'!$C$3:$C$16),0)+IFERROR(XLOOKUP(H6,'Recipes Snacks'!$A$3:$A$16,'Recipes Snacks'!$C$3:$C$16),0)</f>
        <v/>
      </c>
      <c r="K6" s="35" t="inlineStr">
        <is>
          <t>≈1,915 kcal. Good protein distribution.</t>
        </is>
      </c>
      <c r="L6" s="34" t="inlineStr">
        <is>
          <t>4:00 AM wake; water + coffee/tea</t>
        </is>
      </c>
      <c r="M6" s="34" t="inlineStr">
        <is>
          <t>8:30 AM pre-workout breakfast</t>
        </is>
      </c>
      <c r="N6" s="34" t="inlineStr">
        <is>
          <t>9:45–11:00 AM</t>
        </is>
      </c>
      <c r="O6" s="34" t="inlineStr">
        <is>
          <t>12:00 PM post-workout lunch</t>
        </is>
      </c>
      <c r="P6" s="34" t="inlineStr">
        <is>
          <t>3:30 PM</t>
        </is>
      </c>
      <c r="Q6" s="34" t="inlineStr">
        <is>
          <t>7:00 PM</t>
        </is>
      </c>
      <c r="R6" s="34" t="inlineStr">
        <is>
          <t>Best default: lift after work block, then eat lunch within 1–2 hours.</t>
        </is>
      </c>
    </row>
    <row r="7">
      <c r="A7" s="106" t="n">
        <v>46193</v>
      </c>
      <c r="B7" s="35" t="n">
        <v>1</v>
      </c>
      <c r="C7" s="35" t="inlineStr">
        <is>
          <t>Lower + Core</t>
        </is>
      </c>
      <c r="D7" s="35" t="inlineStr">
        <is>
          <t>Greek Yogurt Protein Bowl</t>
        </is>
      </c>
      <c r="E7" s="35" t="inlineStr">
        <is>
          <t>Chicken Rice Bowl</t>
        </is>
      </c>
      <c r="F7" s="35" t="inlineStr">
        <is>
          <t>Salmon Potato Plate</t>
        </is>
      </c>
      <c r="G7" s="35" t="inlineStr">
        <is>
          <t>Greek Yogurt + Apple</t>
        </is>
      </c>
      <c r="H7" s="35" t="str"/>
      <c r="I7" s="107">
        <f>IFERROR(XLOOKUP(D7,'Recipes Snacks'!$A$3:$A$16,'Recipes Snacks'!$B$3:$B$16),0)+IFERROR(XLOOKUP(E7,'Recipes Snacks'!$A$3:$A$16,'Recipes Snacks'!$B$3:$B$16),0)+IFERROR(XLOOKUP(F7,'Recipes Snacks'!$A$3:$A$16,'Recipes Snacks'!$B$3:$B$16),0)+IFERROR(XLOOKUP(G7,'Recipes Snacks'!$A$3:$A$16,'Recipes Snacks'!$B$3:$B$16),0)+IFERROR(XLOOKUP(H7,'Recipes Snacks'!$A$3:$A$16,'Recipes Snacks'!$B$3:$B$16),0)</f>
        <v/>
      </c>
      <c r="J7" s="107">
        <f>IFERROR(XLOOKUP(D7,'Recipes Snacks'!$A$3:$A$16,'Recipes Snacks'!$C$3:$C$16),0)+IFERROR(XLOOKUP(E7,'Recipes Snacks'!$A$3:$A$16,'Recipes Snacks'!$C$3:$C$16),0)+IFERROR(XLOOKUP(F7,'Recipes Snacks'!$A$3:$A$16,'Recipes Snacks'!$C$3:$C$16),0)+IFERROR(XLOOKUP(G7,'Recipes Snacks'!$A$3:$A$16,'Recipes Snacks'!$C$3:$C$16),0)+IFERROR(XLOOKUP(H7,'Recipes Snacks'!$A$3:$A$16,'Recipes Snacks'!$C$3:$C$16),0)</f>
        <v/>
      </c>
      <c r="K7" s="35" t="inlineStr">
        <is>
          <t>≈2,005 kcal. Fish meal day.</t>
        </is>
      </c>
      <c r="L7" s="34" t="inlineStr">
        <is>
          <t>4:00 AM wake; water + coffee/tea</t>
        </is>
      </c>
      <c r="M7" s="34" t="inlineStr">
        <is>
          <t>8:30 AM pre-workout breakfast</t>
        </is>
      </c>
      <c r="N7" s="34" t="inlineStr">
        <is>
          <t>9:45–11:15 AM</t>
        </is>
      </c>
      <c r="O7" s="34" t="inlineStr">
        <is>
          <t>12:15 PM post-workout lunch</t>
        </is>
      </c>
      <c r="P7" s="34" t="inlineStr">
        <is>
          <t>3:45 PM</t>
        </is>
      </c>
      <c r="Q7" s="34" t="inlineStr">
        <is>
          <t>7:00 PM</t>
        </is>
      </c>
      <c r="R7" s="34" t="inlineStr">
        <is>
          <t>Hard lower-body day: keep breakfast/lunch carbs; do not skip lunch.</t>
        </is>
      </c>
    </row>
    <row r="8">
      <c r="A8" s="106" t="n">
        <v>46194</v>
      </c>
      <c r="B8" s="35" t="n">
        <v>1</v>
      </c>
      <c r="C8" s="35" t="inlineStr">
        <is>
          <t>Active Recovery</t>
        </is>
      </c>
      <c r="D8" s="35" t="inlineStr">
        <is>
          <t>Protein Oatmeal</t>
        </is>
      </c>
      <c r="E8" s="35" t="inlineStr">
        <is>
          <t>Tuna Greek Yogurt Wrap</t>
        </is>
      </c>
      <c r="F8" s="35" t="inlineStr">
        <is>
          <t>Chicken Rice Bowl</t>
        </is>
      </c>
      <c r="G8" s="35" t="inlineStr">
        <is>
          <t>Protein Bar Emergency</t>
        </is>
      </c>
      <c r="H8" s="35" t="inlineStr">
        <is>
          <t>Apple</t>
        </is>
      </c>
      <c r="I8" s="107">
        <f>IFERROR(XLOOKUP(D8,'Recipes Snacks'!$A$3:$A$16,'Recipes Snacks'!$B$3:$B$16),0)+IFERROR(XLOOKUP(E8,'Recipes Snacks'!$A$3:$A$16,'Recipes Snacks'!$B$3:$B$16),0)+IFERROR(XLOOKUP(F8,'Recipes Snacks'!$A$3:$A$16,'Recipes Snacks'!$B$3:$B$16),0)+IFERROR(XLOOKUP(G8,'Recipes Snacks'!$A$3:$A$16,'Recipes Snacks'!$B$3:$B$16),0)+IFERROR(XLOOKUP(H8,'Recipes Snacks'!$A$3:$A$16,'Recipes Snacks'!$B$3:$B$16),0)</f>
        <v/>
      </c>
      <c r="J8" s="107">
        <f>IFERROR(XLOOKUP(D8,'Recipes Snacks'!$A$3:$A$16,'Recipes Snacks'!$C$3:$C$16),0)+IFERROR(XLOOKUP(E8,'Recipes Snacks'!$A$3:$A$16,'Recipes Snacks'!$C$3:$C$16),0)+IFERROR(XLOOKUP(F8,'Recipes Snacks'!$A$3:$A$16,'Recipes Snacks'!$C$3:$C$16),0)+IFERROR(XLOOKUP(G8,'Recipes Snacks'!$A$3:$A$16,'Recipes Snacks'!$C$3:$C$16),0)+IFERROR(XLOOKUP(H8,'Recipes Snacks'!$A$3:$A$16,'Recipes Snacks'!$C$3:$C$16),0)</f>
        <v/>
      </c>
      <c r="K8" s="35" t="inlineStr">
        <is>
          <t>–1,960 kcal active-recovery day. Apple added to clear the 1,900 floor.</t>
        </is>
      </c>
      <c r="L8" s="34" t="inlineStr">
        <is>
          <t>4:00 AM wake; water + coffee/tea</t>
        </is>
      </c>
      <c r="M8" s="34" t="inlineStr">
        <is>
          <t>8:30 AM</t>
        </is>
      </c>
      <c r="N8" s="34" t="inlineStr">
        <is>
          <t>Walk 45–60 min anytime</t>
        </is>
      </c>
      <c r="O8" s="34" t="inlineStr">
        <is>
          <t>12:00 PM</t>
        </is>
      </c>
      <c r="P8" s="34" t="inlineStr">
        <is>
          <t>3:30 PM</t>
        </is>
      </c>
      <c r="Q8" s="34" t="inlineStr">
        <is>
          <t>7:00 PM</t>
        </is>
      </c>
      <c r="R8" s="34" t="inlineStr">
        <is>
          <t>Active recovery: long walk 45–60 min; eat meals as planned.</t>
        </is>
      </c>
    </row>
    <row r="9">
      <c r="A9" s="106" t="n">
        <v>46195</v>
      </c>
      <c r="B9" s="35" t="n">
        <v>1</v>
      </c>
      <c r="C9" s="35" t="inlineStr">
        <is>
          <t>Rest</t>
        </is>
      </c>
      <c r="D9" s="35" t="inlineStr">
        <is>
          <t>Greek Yogurt Protein Bowl</t>
        </is>
      </c>
      <c r="E9" s="35" t="inlineStr">
        <is>
          <t>Chicken Salad Wrap</t>
        </is>
      </c>
      <c r="F9" s="35" t="inlineStr">
        <is>
          <t>Lean Beef Potato Bowl</t>
        </is>
      </c>
      <c r="G9" s="35" t="inlineStr">
        <is>
          <t>Boiled Eggs + Fruit</t>
        </is>
      </c>
      <c r="H9" s="35" t="str"/>
      <c r="I9" s="107">
        <f>IFERROR(XLOOKUP(D9,'Recipes Snacks'!$A$3:$A$16,'Recipes Snacks'!$B$3:$B$16),0)+IFERROR(XLOOKUP(E9,'Recipes Snacks'!$A$3:$A$16,'Recipes Snacks'!$B$3:$B$16),0)+IFERROR(XLOOKUP(F9,'Recipes Snacks'!$A$3:$A$16,'Recipes Snacks'!$B$3:$B$16),0)+IFERROR(XLOOKUP(G9,'Recipes Snacks'!$A$3:$A$16,'Recipes Snacks'!$B$3:$B$16),0)+IFERROR(XLOOKUP(H9,'Recipes Snacks'!$A$3:$A$16,'Recipes Snacks'!$B$3:$B$16),0)</f>
        <v/>
      </c>
      <c r="J9" s="107">
        <f>IFERROR(XLOOKUP(D9,'Recipes Snacks'!$A$3:$A$16,'Recipes Snacks'!$C$3:$C$16),0)+IFERROR(XLOOKUP(E9,'Recipes Snacks'!$A$3:$A$16,'Recipes Snacks'!$C$3:$C$16),0)+IFERROR(XLOOKUP(F9,'Recipes Snacks'!$A$3:$A$16,'Recipes Snacks'!$C$3:$C$16),0)+IFERROR(XLOOKUP(G9,'Recipes Snacks'!$A$3:$A$16,'Recipes Snacks'!$C$3:$C$16),0)+IFERROR(XLOOKUP(H9,'Recipes Snacks'!$A$3:$A$16,'Recipes Snacks'!$C$3:$C$16),0)</f>
        <v/>
      </c>
      <c r="K9" s="35" t="inlineStr">
        <is>
          <t>≈1,940 kcal. Slightly lower-carb rest day.</t>
        </is>
      </c>
      <c r="L9" s="34" t="inlineStr">
        <is>
          <t>4:00 AM wake; water + coffee/tea</t>
        </is>
      </c>
      <c r="M9" s="34" t="inlineStr">
        <is>
          <t>8:30 AM</t>
        </is>
      </c>
      <c r="N9" s="34" t="inlineStr">
        <is>
          <t>No gym; walk 30–60 min anytime</t>
        </is>
      </c>
      <c r="O9" s="34" t="inlineStr">
        <is>
          <t>12:30 PM</t>
        </is>
      </c>
      <c r="P9" s="34" t="inlineStr">
        <is>
          <t>3:30 PM</t>
        </is>
      </c>
      <c r="Q9" s="34" t="inlineStr">
        <is>
          <t>7:00 PM</t>
        </is>
      </c>
      <c r="R9" s="34" t="inlineStr">
        <is>
          <t>Keep carbs slightly lower; hit protein; no need for pre/post-workout timing.</t>
        </is>
      </c>
    </row>
    <row r="10">
      <c r="A10" s="106" t="n">
        <v>46196</v>
      </c>
      <c r="B10" s="35" t="n">
        <v>2</v>
      </c>
      <c r="C10" s="35" t="inlineStr">
        <is>
          <t>Push</t>
        </is>
      </c>
      <c r="D10" s="35" t="inlineStr">
        <is>
          <t>Egg Turkey Toast Plate</t>
        </is>
      </c>
      <c r="E10" s="35" t="inlineStr">
        <is>
          <t>Chicken Rice Bowl</t>
        </is>
      </c>
      <c r="F10" s="35" t="inlineStr">
        <is>
          <t>Ground Turkey Pasta</t>
        </is>
      </c>
      <c r="G10" s="35" t="inlineStr">
        <is>
          <t>Greek Yogurt + Apple</t>
        </is>
      </c>
      <c r="H10" s="35" t="str"/>
      <c r="I10" s="107">
        <f>IFERROR(XLOOKUP(D10,'Recipes Snacks'!$A$3:$A$16,'Recipes Snacks'!$B$3:$B$16),0)+IFERROR(XLOOKUP(E10,'Recipes Snacks'!$A$3:$A$16,'Recipes Snacks'!$B$3:$B$16),0)+IFERROR(XLOOKUP(F10,'Recipes Snacks'!$A$3:$A$16,'Recipes Snacks'!$B$3:$B$16),0)+IFERROR(XLOOKUP(G10,'Recipes Snacks'!$A$3:$A$16,'Recipes Snacks'!$B$3:$B$16),0)+IFERROR(XLOOKUP(H10,'Recipes Snacks'!$A$3:$A$16,'Recipes Snacks'!$B$3:$B$16),0)</f>
        <v/>
      </c>
      <c r="J10" s="107">
        <f>IFERROR(XLOOKUP(D10,'Recipes Snacks'!$A$3:$A$16,'Recipes Snacks'!$C$3:$C$16),0)+IFERROR(XLOOKUP(E10,'Recipes Snacks'!$A$3:$A$16,'Recipes Snacks'!$C$3:$C$16),0)+IFERROR(XLOOKUP(F10,'Recipes Snacks'!$A$3:$A$16,'Recipes Snacks'!$C$3:$C$16),0)+IFERROR(XLOOKUP(G10,'Recipes Snacks'!$A$3:$A$16,'Recipes Snacks'!$C$3:$C$16),0)+IFERROR(XLOOKUP(H10,'Recipes Snacks'!$A$3:$A$16,'Recipes Snacks'!$C$3:$C$16),0)</f>
        <v/>
      </c>
      <c r="K10" s="35" t="inlineStr">
        <is>
          <t>≈1,940 kcal. Add fruit only if training energy is low.</t>
        </is>
      </c>
      <c r="L10" s="34" t="inlineStr">
        <is>
          <t>4:00 AM wake; water + coffee/tea</t>
        </is>
      </c>
      <c r="M10" s="34" t="inlineStr">
        <is>
          <t>8:30 AM pre-workout breakfast</t>
        </is>
      </c>
      <c r="N10" s="34" t="inlineStr">
        <is>
          <t>9:45–11:00 AM</t>
        </is>
      </c>
      <c r="O10" s="34" t="inlineStr">
        <is>
          <t>12:00 PM post-workout lunch</t>
        </is>
      </c>
      <c r="P10" s="34" t="inlineStr">
        <is>
          <t>3:30 PM</t>
        </is>
      </c>
      <c r="Q10" s="34" t="inlineStr">
        <is>
          <t>7:00 PM</t>
        </is>
      </c>
      <c r="R10" s="34" t="inlineStr">
        <is>
          <t>Best default: lift after work block, then eat lunch within 1–2 hours.</t>
        </is>
      </c>
    </row>
    <row r="11">
      <c r="A11" s="106" t="n">
        <v>46197</v>
      </c>
      <c r="B11" s="35" t="n">
        <v>2</v>
      </c>
      <c r="C11" s="35" t="inlineStr">
        <is>
          <t>Pull</t>
        </is>
      </c>
      <c r="D11" s="35" t="inlineStr">
        <is>
          <t>Greek Yogurt Protein Bowl</t>
        </is>
      </c>
      <c r="E11" s="35" t="inlineStr">
        <is>
          <t>Tuna Greek Yogurt Wrap</t>
        </is>
      </c>
      <c r="F11" s="35" t="inlineStr">
        <is>
          <t>Chicken Rice Bowl</t>
        </is>
      </c>
      <c r="G11" s="35" t="inlineStr">
        <is>
          <t>Cottage Cheese Fruit Bowl</t>
        </is>
      </c>
      <c r="H11" s="35" t="str"/>
      <c r="I11" s="107">
        <f>IFERROR(XLOOKUP(D11,'Recipes Snacks'!$A$3:$A$16,'Recipes Snacks'!$B$3:$B$16),0)+IFERROR(XLOOKUP(E11,'Recipes Snacks'!$A$3:$A$16,'Recipes Snacks'!$B$3:$B$16),0)+IFERROR(XLOOKUP(F11,'Recipes Snacks'!$A$3:$A$16,'Recipes Snacks'!$B$3:$B$16),0)+IFERROR(XLOOKUP(G11,'Recipes Snacks'!$A$3:$A$16,'Recipes Snacks'!$B$3:$B$16),0)+IFERROR(XLOOKUP(H11,'Recipes Snacks'!$A$3:$A$16,'Recipes Snacks'!$B$3:$B$16),0)</f>
        <v/>
      </c>
      <c r="J11" s="107">
        <f>IFERROR(XLOOKUP(D11,'Recipes Snacks'!$A$3:$A$16,'Recipes Snacks'!$C$3:$C$16),0)+IFERROR(XLOOKUP(E11,'Recipes Snacks'!$A$3:$A$16,'Recipes Snacks'!$C$3:$C$16),0)+IFERROR(XLOOKUP(F11,'Recipes Snacks'!$A$3:$A$16,'Recipes Snacks'!$C$3:$C$16),0)+IFERROR(XLOOKUP(G11,'Recipes Snacks'!$A$3:$A$16,'Recipes Snacks'!$C$3:$C$16),0)+IFERROR(XLOOKUP(H11,'Recipes Snacks'!$A$3:$A$16,'Recipes Snacks'!$C$3:$C$16),0)</f>
        <v/>
      </c>
      <c r="K11" s="35" t="inlineStr">
        <is>
          <t>≈1,915 kcal. Good protein day.</t>
        </is>
      </c>
      <c r="L11" s="34" t="inlineStr">
        <is>
          <t>4:00 AM wake; water + coffee/tea</t>
        </is>
      </c>
      <c r="M11" s="34" t="inlineStr">
        <is>
          <t>8:30 AM pre-workout breakfast</t>
        </is>
      </c>
      <c r="N11" s="34" t="inlineStr">
        <is>
          <t>9:45–11:00 AM</t>
        </is>
      </c>
      <c r="O11" s="34" t="inlineStr">
        <is>
          <t>12:00 PM post-workout lunch</t>
        </is>
      </c>
      <c r="P11" s="34" t="inlineStr">
        <is>
          <t>3:30 PM</t>
        </is>
      </c>
      <c r="Q11" s="34" t="inlineStr">
        <is>
          <t>7:00 PM</t>
        </is>
      </c>
      <c r="R11" s="34" t="inlineStr">
        <is>
          <t>Best default: lift after work block, then eat lunch within 1–2 hours.</t>
        </is>
      </c>
    </row>
    <row r="12">
      <c r="A12" s="106" t="n">
        <v>46198</v>
      </c>
      <c r="B12" s="35" t="n">
        <v>2</v>
      </c>
      <c r="C12" s="35" t="inlineStr">
        <is>
          <t>Legs</t>
        </is>
      </c>
      <c r="D12" s="35" t="inlineStr">
        <is>
          <t>Protein Oatmeal</t>
        </is>
      </c>
      <c r="E12" s="35" t="inlineStr">
        <is>
          <t>Chicken Rice Bowl</t>
        </is>
      </c>
      <c r="F12" s="35" t="inlineStr">
        <is>
          <t>Lean Beef Potato Bowl</t>
        </is>
      </c>
      <c r="G12" s="35" t="inlineStr">
        <is>
          <t>Whey Shake + Banana</t>
        </is>
      </c>
      <c r="H12" s="35" t="str"/>
      <c r="I12" s="107">
        <f>IFERROR(XLOOKUP(D12,'Recipes Snacks'!$A$3:$A$16,'Recipes Snacks'!$B$3:$B$16),0)+IFERROR(XLOOKUP(E12,'Recipes Snacks'!$A$3:$A$16,'Recipes Snacks'!$B$3:$B$16),0)+IFERROR(XLOOKUP(F12,'Recipes Snacks'!$A$3:$A$16,'Recipes Snacks'!$B$3:$B$16),0)+IFERROR(XLOOKUP(G12,'Recipes Snacks'!$A$3:$A$16,'Recipes Snacks'!$B$3:$B$16),0)+IFERROR(XLOOKUP(H12,'Recipes Snacks'!$A$3:$A$16,'Recipes Snacks'!$B$3:$B$16),0)</f>
        <v/>
      </c>
      <c r="J12" s="107">
        <f>IFERROR(XLOOKUP(D12,'Recipes Snacks'!$A$3:$A$16,'Recipes Snacks'!$C$3:$C$16),0)+IFERROR(XLOOKUP(E12,'Recipes Snacks'!$A$3:$A$16,'Recipes Snacks'!$C$3:$C$16),0)+IFERROR(XLOOKUP(F12,'Recipes Snacks'!$A$3:$A$16,'Recipes Snacks'!$C$3:$C$16),0)+IFERROR(XLOOKUP(G12,'Recipes Snacks'!$A$3:$A$16,'Recipes Snacks'!$C$3:$C$16),0)+IFERROR(XLOOKUP(H12,'Recipes Snacks'!$A$3:$A$16,'Recipes Snacks'!$C$3:$C$16),0)</f>
        <v/>
      </c>
      <c r="K12" s="35" t="inlineStr">
        <is>
          <t>≈1,990 kcal. Highest-carb leg day.</t>
        </is>
      </c>
      <c r="L12" s="34" t="inlineStr">
        <is>
          <t>4:00 AM wake; water + coffee/tea</t>
        </is>
      </c>
      <c r="M12" s="34" t="inlineStr">
        <is>
          <t>8:30 AM pre-workout breakfast</t>
        </is>
      </c>
      <c r="N12" s="34" t="inlineStr">
        <is>
          <t>9:45–11:15 AM</t>
        </is>
      </c>
      <c r="O12" s="34" t="inlineStr">
        <is>
          <t>12:15 PM post-workout lunch</t>
        </is>
      </c>
      <c r="P12" s="34" t="inlineStr">
        <is>
          <t>3:45 PM</t>
        </is>
      </c>
      <c r="Q12" s="34" t="inlineStr">
        <is>
          <t>7:00 PM</t>
        </is>
      </c>
      <c r="R12" s="34" t="inlineStr">
        <is>
          <t>Hard lower-body day: keep breakfast/lunch carbs; do not skip lunch.</t>
        </is>
      </c>
    </row>
    <row r="13">
      <c r="A13" s="106" t="n">
        <v>46199</v>
      </c>
      <c r="B13" s="35" t="n">
        <v>2</v>
      </c>
      <c r="C13" s="35" t="inlineStr">
        <is>
          <t>Upper</t>
        </is>
      </c>
      <c r="D13" s="35" t="inlineStr">
        <is>
          <t>Egg Turkey Toast Plate</t>
        </is>
      </c>
      <c r="E13" s="35" t="inlineStr">
        <is>
          <t>Ground Turkey Pasta</t>
        </is>
      </c>
      <c r="F13" s="35" t="inlineStr">
        <is>
          <t>Chicken Salad Wrap</t>
        </is>
      </c>
      <c r="G13" s="35" t="inlineStr">
        <is>
          <t>Cottage Cheese Fruit Bowl</t>
        </is>
      </c>
      <c r="H13" s="35" t="str"/>
      <c r="I13" s="107">
        <f>IFERROR(XLOOKUP(D13,'Recipes Snacks'!$A$3:$A$16,'Recipes Snacks'!$B$3:$B$16),0)+IFERROR(XLOOKUP(E13,'Recipes Snacks'!$A$3:$A$16,'Recipes Snacks'!$B$3:$B$16),0)+IFERROR(XLOOKUP(F13,'Recipes Snacks'!$A$3:$A$16,'Recipes Snacks'!$B$3:$B$16),0)+IFERROR(XLOOKUP(G13,'Recipes Snacks'!$A$3:$A$16,'Recipes Snacks'!$B$3:$B$16),0)+IFERROR(XLOOKUP(H13,'Recipes Snacks'!$A$3:$A$16,'Recipes Snacks'!$B$3:$B$16),0)</f>
        <v/>
      </c>
      <c r="J13" s="107">
        <f>IFERROR(XLOOKUP(D13,'Recipes Snacks'!$A$3:$A$16,'Recipes Snacks'!$C$3:$C$16),0)+IFERROR(XLOOKUP(E13,'Recipes Snacks'!$A$3:$A$16,'Recipes Snacks'!$C$3:$C$16),0)+IFERROR(XLOOKUP(F13,'Recipes Snacks'!$A$3:$A$16,'Recipes Snacks'!$C$3:$C$16),0)+IFERROR(XLOOKUP(G13,'Recipes Snacks'!$A$3:$A$16,'Recipes Snacks'!$C$3:$C$16),0)+IFERROR(XLOOKUP(H13,'Recipes Snacks'!$A$3:$A$16,'Recipes Snacks'!$C$3:$C$16),0)</f>
        <v/>
      </c>
      <c r="K13" s="35" t="inlineStr">
        <is>
          <t>≈1,915 kcal. Good protein distribution.</t>
        </is>
      </c>
      <c r="L13" s="34" t="inlineStr">
        <is>
          <t>4:00 AM wake; water + coffee/tea</t>
        </is>
      </c>
      <c r="M13" s="34" t="inlineStr">
        <is>
          <t>8:30 AM pre-workout breakfast</t>
        </is>
      </c>
      <c r="N13" s="34" t="inlineStr">
        <is>
          <t>9:45–11:00 AM</t>
        </is>
      </c>
      <c r="O13" s="34" t="inlineStr">
        <is>
          <t>12:00 PM post-workout lunch</t>
        </is>
      </c>
      <c r="P13" s="34" t="inlineStr">
        <is>
          <t>3:30 PM</t>
        </is>
      </c>
      <c r="Q13" s="34" t="inlineStr">
        <is>
          <t>7:00 PM</t>
        </is>
      </c>
      <c r="R13" s="34" t="inlineStr">
        <is>
          <t>Best default: lift after work block, then eat lunch within 1–2 hours.</t>
        </is>
      </c>
    </row>
    <row r="14">
      <c r="A14" s="106" t="n">
        <v>46200</v>
      </c>
      <c r="B14" s="35" t="n">
        <v>2</v>
      </c>
      <c r="C14" s="35" t="inlineStr">
        <is>
          <t>Lower + Core</t>
        </is>
      </c>
      <c r="D14" s="35" t="inlineStr">
        <is>
          <t>Greek Yogurt Protein Bowl</t>
        </is>
      </c>
      <c r="E14" s="35" t="inlineStr">
        <is>
          <t>Chicken Rice Bowl</t>
        </is>
      </c>
      <c r="F14" s="35" t="inlineStr">
        <is>
          <t>Salmon Potato Plate</t>
        </is>
      </c>
      <c r="G14" s="35" t="inlineStr">
        <is>
          <t>Greek Yogurt + Apple</t>
        </is>
      </c>
      <c r="H14" s="35" t="str"/>
      <c r="I14" s="107">
        <f>IFERROR(XLOOKUP(D14,'Recipes Snacks'!$A$3:$A$16,'Recipes Snacks'!$B$3:$B$16),0)+IFERROR(XLOOKUP(E14,'Recipes Snacks'!$A$3:$A$16,'Recipes Snacks'!$B$3:$B$16),0)+IFERROR(XLOOKUP(F14,'Recipes Snacks'!$A$3:$A$16,'Recipes Snacks'!$B$3:$B$16),0)+IFERROR(XLOOKUP(G14,'Recipes Snacks'!$A$3:$A$16,'Recipes Snacks'!$B$3:$B$16),0)+IFERROR(XLOOKUP(H14,'Recipes Snacks'!$A$3:$A$16,'Recipes Snacks'!$B$3:$B$16),0)</f>
        <v/>
      </c>
      <c r="J14" s="107">
        <f>IFERROR(XLOOKUP(D14,'Recipes Snacks'!$A$3:$A$16,'Recipes Snacks'!$C$3:$C$16),0)+IFERROR(XLOOKUP(E14,'Recipes Snacks'!$A$3:$A$16,'Recipes Snacks'!$C$3:$C$16),0)+IFERROR(XLOOKUP(F14,'Recipes Snacks'!$A$3:$A$16,'Recipes Snacks'!$C$3:$C$16),0)+IFERROR(XLOOKUP(G14,'Recipes Snacks'!$A$3:$A$16,'Recipes Snacks'!$C$3:$C$16),0)+IFERROR(XLOOKUP(H14,'Recipes Snacks'!$A$3:$A$16,'Recipes Snacks'!$C$3:$C$16),0)</f>
        <v/>
      </c>
      <c r="K14" s="35" t="inlineStr">
        <is>
          <t>≈2,005 kcal. Fish meal day.</t>
        </is>
      </c>
      <c r="L14" s="34" t="inlineStr">
        <is>
          <t>4:00 AM wake; water + coffee/tea</t>
        </is>
      </c>
      <c r="M14" s="34" t="inlineStr">
        <is>
          <t>8:30 AM pre-workout breakfast</t>
        </is>
      </c>
      <c r="N14" s="34" t="inlineStr">
        <is>
          <t>9:45–11:15 AM</t>
        </is>
      </c>
      <c r="O14" s="34" t="inlineStr">
        <is>
          <t>12:15 PM post-workout lunch</t>
        </is>
      </c>
      <c r="P14" s="34" t="inlineStr">
        <is>
          <t>3:45 PM</t>
        </is>
      </c>
      <c r="Q14" s="34" t="inlineStr">
        <is>
          <t>7:00 PM</t>
        </is>
      </c>
      <c r="R14" s="34" t="inlineStr">
        <is>
          <t>Hard lower-body day: keep breakfast/lunch carbs; do not skip lunch.</t>
        </is>
      </c>
    </row>
    <row r="15">
      <c r="A15" s="106" t="n">
        <v>46201</v>
      </c>
      <c r="B15" s="35" t="n">
        <v>2</v>
      </c>
      <c r="C15" s="35" t="inlineStr">
        <is>
          <t>Active Recovery</t>
        </is>
      </c>
      <c r="D15" s="35" t="inlineStr">
        <is>
          <t>Protein Oatmeal</t>
        </is>
      </c>
      <c r="E15" s="35" t="inlineStr">
        <is>
          <t>Tuna Greek Yogurt Wrap</t>
        </is>
      </c>
      <c r="F15" s="35" t="inlineStr">
        <is>
          <t>Chicken Rice Bowl</t>
        </is>
      </c>
      <c r="G15" s="35" t="inlineStr">
        <is>
          <t>Protein Bar Emergency</t>
        </is>
      </c>
      <c r="H15" s="35" t="inlineStr">
        <is>
          <t>Apple</t>
        </is>
      </c>
      <c r="I15" s="107">
        <f>IFERROR(XLOOKUP(D15,'Recipes Snacks'!$A$3:$A$16,'Recipes Snacks'!$B$3:$B$16),0)+IFERROR(XLOOKUP(E15,'Recipes Snacks'!$A$3:$A$16,'Recipes Snacks'!$B$3:$B$16),0)+IFERROR(XLOOKUP(F15,'Recipes Snacks'!$A$3:$A$16,'Recipes Snacks'!$B$3:$B$16),0)+IFERROR(XLOOKUP(G15,'Recipes Snacks'!$A$3:$A$16,'Recipes Snacks'!$B$3:$B$16),0)+IFERROR(XLOOKUP(H15,'Recipes Snacks'!$A$3:$A$16,'Recipes Snacks'!$B$3:$B$16),0)</f>
        <v/>
      </c>
      <c r="J15" s="107">
        <f>IFERROR(XLOOKUP(D15,'Recipes Snacks'!$A$3:$A$16,'Recipes Snacks'!$C$3:$C$16),0)+IFERROR(XLOOKUP(E15,'Recipes Snacks'!$A$3:$A$16,'Recipes Snacks'!$C$3:$C$16),0)+IFERROR(XLOOKUP(F15,'Recipes Snacks'!$A$3:$A$16,'Recipes Snacks'!$C$3:$C$16),0)+IFERROR(XLOOKUP(G15,'Recipes Snacks'!$A$3:$A$16,'Recipes Snacks'!$C$3:$C$16),0)+IFERROR(XLOOKUP(H15,'Recipes Snacks'!$A$3:$A$16,'Recipes Snacks'!$C$3:$C$16),0)</f>
        <v/>
      </c>
      <c r="K15" s="35" t="inlineStr">
        <is>
          <t>–1,960 kcal active-recovery day. Apple added to clear the 1,900 floor.</t>
        </is>
      </c>
      <c r="L15" s="34" t="inlineStr">
        <is>
          <t>4:00 AM wake; water + coffee/tea</t>
        </is>
      </c>
      <c r="M15" s="34" t="inlineStr">
        <is>
          <t>8:30 AM</t>
        </is>
      </c>
      <c r="N15" s="34" t="inlineStr">
        <is>
          <t>Walk 45–60 min anytime</t>
        </is>
      </c>
      <c r="O15" s="34" t="inlineStr">
        <is>
          <t>12:00 PM</t>
        </is>
      </c>
      <c r="P15" s="34" t="inlineStr">
        <is>
          <t>3:30 PM</t>
        </is>
      </c>
      <c r="Q15" s="34" t="inlineStr">
        <is>
          <t>7:00 PM</t>
        </is>
      </c>
      <c r="R15" s="34" t="inlineStr">
        <is>
          <t>Active recovery: long walk 45–60 min; eat meals as planned.</t>
        </is>
      </c>
    </row>
    <row r="16">
      <c r="A16" s="106" t="n">
        <v>46202</v>
      </c>
      <c r="B16" s="35" t="n">
        <v>2</v>
      </c>
      <c r="C16" s="35" t="inlineStr">
        <is>
          <t>Rest</t>
        </is>
      </c>
      <c r="D16" s="35" t="inlineStr">
        <is>
          <t>Greek Yogurt Protein Bowl</t>
        </is>
      </c>
      <c r="E16" s="35" t="inlineStr">
        <is>
          <t>Chicken Salad Wrap</t>
        </is>
      </c>
      <c r="F16" s="35" t="inlineStr">
        <is>
          <t>Lean Beef Potato Bowl</t>
        </is>
      </c>
      <c r="G16" s="35" t="inlineStr">
        <is>
          <t>Boiled Eggs + Fruit</t>
        </is>
      </c>
      <c r="H16" s="35" t="str"/>
      <c r="I16" s="107">
        <f>IFERROR(XLOOKUP(D16,'Recipes Snacks'!$A$3:$A$16,'Recipes Snacks'!$B$3:$B$16),0)+IFERROR(XLOOKUP(E16,'Recipes Snacks'!$A$3:$A$16,'Recipes Snacks'!$B$3:$B$16),0)+IFERROR(XLOOKUP(F16,'Recipes Snacks'!$A$3:$A$16,'Recipes Snacks'!$B$3:$B$16),0)+IFERROR(XLOOKUP(G16,'Recipes Snacks'!$A$3:$A$16,'Recipes Snacks'!$B$3:$B$16),0)+IFERROR(XLOOKUP(H16,'Recipes Snacks'!$A$3:$A$16,'Recipes Snacks'!$B$3:$B$16),0)</f>
        <v/>
      </c>
      <c r="J16" s="107">
        <f>IFERROR(XLOOKUP(D16,'Recipes Snacks'!$A$3:$A$16,'Recipes Snacks'!$C$3:$C$16),0)+IFERROR(XLOOKUP(E16,'Recipes Snacks'!$A$3:$A$16,'Recipes Snacks'!$C$3:$C$16),0)+IFERROR(XLOOKUP(F16,'Recipes Snacks'!$A$3:$A$16,'Recipes Snacks'!$C$3:$C$16),0)+IFERROR(XLOOKUP(G16,'Recipes Snacks'!$A$3:$A$16,'Recipes Snacks'!$C$3:$C$16),0)+IFERROR(XLOOKUP(H16,'Recipes Snacks'!$A$3:$A$16,'Recipes Snacks'!$C$3:$C$16),0)</f>
        <v/>
      </c>
      <c r="K16" s="35" t="inlineStr">
        <is>
          <t>≈1,940 kcal. Slightly lower-carb rest day.</t>
        </is>
      </c>
      <c r="L16" s="34" t="inlineStr">
        <is>
          <t>4:00 AM wake; water + coffee/tea</t>
        </is>
      </c>
      <c r="M16" s="34" t="inlineStr">
        <is>
          <t>8:30 AM</t>
        </is>
      </c>
      <c r="N16" s="34" t="inlineStr">
        <is>
          <t>No gym; walk 30–60 min anytime</t>
        </is>
      </c>
      <c r="O16" s="34" t="inlineStr">
        <is>
          <t>12:30 PM</t>
        </is>
      </c>
      <c r="P16" s="34" t="inlineStr">
        <is>
          <t>3:30 PM</t>
        </is>
      </c>
      <c r="Q16" s="34" t="inlineStr">
        <is>
          <t>7:00 PM</t>
        </is>
      </c>
      <c r="R16" s="34" t="inlineStr">
        <is>
          <t>Keep carbs slightly lower; hit protein; no need for pre/post-workout timing.</t>
        </is>
      </c>
    </row>
    <row r="17">
      <c r="A17" s="106" t="n">
        <v>46203</v>
      </c>
      <c r="B17" s="35" t="n">
        <v>3</v>
      </c>
      <c r="C17" s="35" t="inlineStr">
        <is>
          <t>Push</t>
        </is>
      </c>
      <c r="D17" s="35" t="inlineStr">
        <is>
          <t>Egg Turkey Toast Plate</t>
        </is>
      </c>
      <c r="E17" s="35" t="inlineStr">
        <is>
          <t>Chicken Rice Bowl</t>
        </is>
      </c>
      <c r="F17" s="35" t="inlineStr">
        <is>
          <t>Ground Turkey Pasta</t>
        </is>
      </c>
      <c r="G17" s="35" t="inlineStr">
        <is>
          <t>Greek Yogurt + Apple</t>
        </is>
      </c>
      <c r="H17" s="35" t="str"/>
      <c r="I17" s="107">
        <f>IFERROR(XLOOKUP(D17,'Recipes Snacks'!$A$3:$A$16,'Recipes Snacks'!$B$3:$B$16),0)+IFERROR(XLOOKUP(E17,'Recipes Snacks'!$A$3:$A$16,'Recipes Snacks'!$B$3:$B$16),0)+IFERROR(XLOOKUP(F17,'Recipes Snacks'!$A$3:$A$16,'Recipes Snacks'!$B$3:$B$16),0)+IFERROR(XLOOKUP(G17,'Recipes Snacks'!$A$3:$A$16,'Recipes Snacks'!$B$3:$B$16),0)+IFERROR(XLOOKUP(H17,'Recipes Snacks'!$A$3:$A$16,'Recipes Snacks'!$B$3:$B$16),0)</f>
        <v/>
      </c>
      <c r="J17" s="107">
        <f>IFERROR(XLOOKUP(D17,'Recipes Snacks'!$A$3:$A$16,'Recipes Snacks'!$C$3:$C$16),0)+IFERROR(XLOOKUP(E17,'Recipes Snacks'!$A$3:$A$16,'Recipes Snacks'!$C$3:$C$16),0)+IFERROR(XLOOKUP(F17,'Recipes Snacks'!$A$3:$A$16,'Recipes Snacks'!$C$3:$C$16),0)+IFERROR(XLOOKUP(G17,'Recipes Snacks'!$A$3:$A$16,'Recipes Snacks'!$C$3:$C$16),0)+IFERROR(XLOOKUP(H17,'Recipes Snacks'!$A$3:$A$16,'Recipes Snacks'!$C$3:$C$16),0)</f>
        <v/>
      </c>
      <c r="K17" s="35" t="inlineStr">
        <is>
          <t>≈1,940 kcal. Add fruit only if training energy is low.</t>
        </is>
      </c>
      <c r="L17" s="34" t="inlineStr">
        <is>
          <t>4:00 AM wake; water + coffee/tea</t>
        </is>
      </c>
      <c r="M17" s="34" t="inlineStr">
        <is>
          <t>8:30 AM pre-workout breakfast</t>
        </is>
      </c>
      <c r="N17" s="34" t="inlineStr">
        <is>
          <t>9:45–11:00 AM</t>
        </is>
      </c>
      <c r="O17" s="34" t="inlineStr">
        <is>
          <t>12:00 PM post-workout lunch</t>
        </is>
      </c>
      <c r="P17" s="34" t="inlineStr">
        <is>
          <t>3:30 PM</t>
        </is>
      </c>
      <c r="Q17" s="34" t="inlineStr">
        <is>
          <t>7:00 PM</t>
        </is>
      </c>
      <c r="R17" s="34" t="inlineStr">
        <is>
          <t>Best default: lift after work block, then eat lunch within 1–2 hours.</t>
        </is>
      </c>
    </row>
    <row r="18">
      <c r="A18" s="106" t="n">
        <v>46204</v>
      </c>
      <c r="B18" s="35" t="n">
        <v>3</v>
      </c>
      <c r="C18" s="35" t="inlineStr">
        <is>
          <t>Pull</t>
        </is>
      </c>
      <c r="D18" s="35" t="inlineStr">
        <is>
          <t>Greek Yogurt Protein Bowl</t>
        </is>
      </c>
      <c r="E18" s="35" t="inlineStr">
        <is>
          <t>Tuna Greek Yogurt Wrap</t>
        </is>
      </c>
      <c r="F18" s="35" t="inlineStr">
        <is>
          <t>Chicken Rice Bowl</t>
        </is>
      </c>
      <c r="G18" s="35" t="inlineStr">
        <is>
          <t>Cottage Cheese Fruit Bowl</t>
        </is>
      </c>
      <c r="H18" s="35" t="str"/>
      <c r="I18" s="107">
        <f>IFERROR(XLOOKUP(D18,'Recipes Snacks'!$A$3:$A$16,'Recipes Snacks'!$B$3:$B$16),0)+IFERROR(XLOOKUP(E18,'Recipes Snacks'!$A$3:$A$16,'Recipes Snacks'!$B$3:$B$16),0)+IFERROR(XLOOKUP(F18,'Recipes Snacks'!$A$3:$A$16,'Recipes Snacks'!$B$3:$B$16),0)+IFERROR(XLOOKUP(G18,'Recipes Snacks'!$A$3:$A$16,'Recipes Snacks'!$B$3:$B$16),0)+IFERROR(XLOOKUP(H18,'Recipes Snacks'!$A$3:$A$16,'Recipes Snacks'!$B$3:$B$16),0)</f>
        <v/>
      </c>
      <c r="J18" s="107">
        <f>IFERROR(XLOOKUP(D18,'Recipes Snacks'!$A$3:$A$16,'Recipes Snacks'!$C$3:$C$16),0)+IFERROR(XLOOKUP(E18,'Recipes Snacks'!$A$3:$A$16,'Recipes Snacks'!$C$3:$C$16),0)+IFERROR(XLOOKUP(F18,'Recipes Snacks'!$A$3:$A$16,'Recipes Snacks'!$C$3:$C$16),0)+IFERROR(XLOOKUP(G18,'Recipes Snacks'!$A$3:$A$16,'Recipes Snacks'!$C$3:$C$16),0)+IFERROR(XLOOKUP(H18,'Recipes Snacks'!$A$3:$A$16,'Recipes Snacks'!$C$3:$C$16),0)</f>
        <v/>
      </c>
      <c r="K18" s="35" t="inlineStr">
        <is>
          <t>≈1,915 kcal. Good protein day.</t>
        </is>
      </c>
      <c r="L18" s="34" t="inlineStr">
        <is>
          <t>4:00 AM wake; water + coffee/tea</t>
        </is>
      </c>
      <c r="M18" s="34" t="inlineStr">
        <is>
          <t>8:30 AM pre-workout breakfast</t>
        </is>
      </c>
      <c r="N18" s="34" t="inlineStr">
        <is>
          <t>9:45–11:00 AM</t>
        </is>
      </c>
      <c r="O18" s="34" t="inlineStr">
        <is>
          <t>12:00 PM post-workout lunch</t>
        </is>
      </c>
      <c r="P18" s="34" t="inlineStr">
        <is>
          <t>3:30 PM</t>
        </is>
      </c>
      <c r="Q18" s="34" t="inlineStr">
        <is>
          <t>7:00 PM</t>
        </is>
      </c>
      <c r="R18" s="34" t="inlineStr">
        <is>
          <t>Best default: lift after work block, then eat lunch within 1–2 hours.</t>
        </is>
      </c>
    </row>
    <row r="19">
      <c r="A19" s="106" t="n">
        <v>46205</v>
      </c>
      <c r="B19" s="35" t="n">
        <v>3</v>
      </c>
      <c r="C19" s="35" t="inlineStr">
        <is>
          <t>Legs</t>
        </is>
      </c>
      <c r="D19" s="35" t="inlineStr">
        <is>
          <t>Protein Oatmeal</t>
        </is>
      </c>
      <c r="E19" s="35" t="inlineStr">
        <is>
          <t>Chicken Rice Bowl</t>
        </is>
      </c>
      <c r="F19" s="35" t="inlineStr">
        <is>
          <t>Lean Beef Potato Bowl</t>
        </is>
      </c>
      <c r="G19" s="35" t="inlineStr">
        <is>
          <t>Whey Shake + Banana</t>
        </is>
      </c>
      <c r="H19" s="35" t="str"/>
      <c r="I19" s="107">
        <f>IFERROR(XLOOKUP(D19,'Recipes Snacks'!$A$3:$A$16,'Recipes Snacks'!$B$3:$B$16),0)+IFERROR(XLOOKUP(E19,'Recipes Snacks'!$A$3:$A$16,'Recipes Snacks'!$B$3:$B$16),0)+IFERROR(XLOOKUP(F19,'Recipes Snacks'!$A$3:$A$16,'Recipes Snacks'!$B$3:$B$16),0)+IFERROR(XLOOKUP(G19,'Recipes Snacks'!$A$3:$A$16,'Recipes Snacks'!$B$3:$B$16),0)+IFERROR(XLOOKUP(H19,'Recipes Snacks'!$A$3:$A$16,'Recipes Snacks'!$B$3:$B$16),0)</f>
        <v/>
      </c>
      <c r="J19" s="107">
        <f>IFERROR(XLOOKUP(D19,'Recipes Snacks'!$A$3:$A$16,'Recipes Snacks'!$C$3:$C$16),0)+IFERROR(XLOOKUP(E19,'Recipes Snacks'!$A$3:$A$16,'Recipes Snacks'!$C$3:$C$16),0)+IFERROR(XLOOKUP(F19,'Recipes Snacks'!$A$3:$A$16,'Recipes Snacks'!$C$3:$C$16),0)+IFERROR(XLOOKUP(G19,'Recipes Snacks'!$A$3:$A$16,'Recipes Snacks'!$C$3:$C$16),0)+IFERROR(XLOOKUP(H19,'Recipes Snacks'!$A$3:$A$16,'Recipes Snacks'!$C$3:$C$16),0)</f>
        <v/>
      </c>
      <c r="K19" s="35" t="inlineStr">
        <is>
          <t>≈1,990 kcal. Highest-carb leg day.</t>
        </is>
      </c>
      <c r="L19" s="34" t="inlineStr">
        <is>
          <t>4:00 AM wake; water + coffee/tea</t>
        </is>
      </c>
      <c r="M19" s="34" t="inlineStr">
        <is>
          <t>8:30 AM pre-workout breakfast</t>
        </is>
      </c>
      <c r="N19" s="34" t="inlineStr">
        <is>
          <t>9:45–11:15 AM</t>
        </is>
      </c>
      <c r="O19" s="34" t="inlineStr">
        <is>
          <t>12:15 PM post-workout lunch</t>
        </is>
      </c>
      <c r="P19" s="34" t="inlineStr">
        <is>
          <t>3:45 PM</t>
        </is>
      </c>
      <c r="Q19" s="34" t="inlineStr">
        <is>
          <t>7:00 PM</t>
        </is>
      </c>
      <c r="R19" s="34" t="inlineStr">
        <is>
          <t>Hard lower-body day: keep breakfast/lunch carbs; do not skip lunch.</t>
        </is>
      </c>
    </row>
    <row r="20">
      <c r="A20" s="106" t="n">
        <v>46206</v>
      </c>
      <c r="B20" s="35" t="n">
        <v>3</v>
      </c>
      <c r="C20" s="35" t="inlineStr">
        <is>
          <t>Upper</t>
        </is>
      </c>
      <c r="D20" s="35" t="inlineStr">
        <is>
          <t>Egg Turkey Toast Plate</t>
        </is>
      </c>
      <c r="E20" s="35" t="inlineStr">
        <is>
          <t>Ground Turkey Pasta</t>
        </is>
      </c>
      <c r="F20" s="35" t="inlineStr">
        <is>
          <t>Chicken Salad Wrap</t>
        </is>
      </c>
      <c r="G20" s="35" t="inlineStr">
        <is>
          <t>Cottage Cheese Fruit Bowl</t>
        </is>
      </c>
      <c r="H20" s="35" t="str"/>
      <c r="I20" s="107">
        <f>IFERROR(XLOOKUP(D20,'Recipes Snacks'!$A$3:$A$16,'Recipes Snacks'!$B$3:$B$16),0)+IFERROR(XLOOKUP(E20,'Recipes Snacks'!$A$3:$A$16,'Recipes Snacks'!$B$3:$B$16),0)+IFERROR(XLOOKUP(F20,'Recipes Snacks'!$A$3:$A$16,'Recipes Snacks'!$B$3:$B$16),0)+IFERROR(XLOOKUP(G20,'Recipes Snacks'!$A$3:$A$16,'Recipes Snacks'!$B$3:$B$16),0)+IFERROR(XLOOKUP(H20,'Recipes Snacks'!$A$3:$A$16,'Recipes Snacks'!$B$3:$B$16),0)</f>
        <v/>
      </c>
      <c r="J20" s="107">
        <f>IFERROR(XLOOKUP(D20,'Recipes Snacks'!$A$3:$A$16,'Recipes Snacks'!$C$3:$C$16),0)+IFERROR(XLOOKUP(E20,'Recipes Snacks'!$A$3:$A$16,'Recipes Snacks'!$C$3:$C$16),0)+IFERROR(XLOOKUP(F20,'Recipes Snacks'!$A$3:$A$16,'Recipes Snacks'!$C$3:$C$16),0)+IFERROR(XLOOKUP(G20,'Recipes Snacks'!$A$3:$A$16,'Recipes Snacks'!$C$3:$C$16),0)+IFERROR(XLOOKUP(H20,'Recipes Snacks'!$A$3:$A$16,'Recipes Snacks'!$C$3:$C$16),0)</f>
        <v/>
      </c>
      <c r="K20" s="35" t="inlineStr">
        <is>
          <t>≈1,915 kcal. Good protein distribution.</t>
        </is>
      </c>
      <c r="L20" s="34" t="inlineStr">
        <is>
          <t>4:00 AM wake; water + coffee/tea</t>
        </is>
      </c>
      <c r="M20" s="34" t="inlineStr">
        <is>
          <t>8:30 AM pre-workout breakfast</t>
        </is>
      </c>
      <c r="N20" s="34" t="inlineStr">
        <is>
          <t>9:45–11:00 AM</t>
        </is>
      </c>
      <c r="O20" s="34" t="inlineStr">
        <is>
          <t>12:00 PM post-workout lunch</t>
        </is>
      </c>
      <c r="P20" s="34" t="inlineStr">
        <is>
          <t>3:30 PM</t>
        </is>
      </c>
      <c r="Q20" s="34" t="inlineStr">
        <is>
          <t>7:00 PM</t>
        </is>
      </c>
      <c r="R20" s="34" t="inlineStr">
        <is>
          <t>Best default: lift after work block, then eat lunch within 1–2 hours.</t>
        </is>
      </c>
    </row>
    <row r="21">
      <c r="A21" s="106" t="n">
        <v>46207</v>
      </c>
      <c r="B21" s="35" t="n">
        <v>3</v>
      </c>
      <c r="C21" s="35" t="inlineStr">
        <is>
          <t>Lower + Core</t>
        </is>
      </c>
      <c r="D21" s="35" t="inlineStr">
        <is>
          <t>Greek Yogurt Protein Bowl</t>
        </is>
      </c>
      <c r="E21" s="35" t="inlineStr">
        <is>
          <t>Chicken Rice Bowl</t>
        </is>
      </c>
      <c r="F21" s="35" t="inlineStr">
        <is>
          <t>Salmon Potato Plate</t>
        </is>
      </c>
      <c r="G21" s="35" t="inlineStr">
        <is>
          <t>Greek Yogurt + Apple</t>
        </is>
      </c>
      <c r="H21" s="35" t="str"/>
      <c r="I21" s="107">
        <f>IFERROR(XLOOKUP(D21,'Recipes Snacks'!$A$3:$A$16,'Recipes Snacks'!$B$3:$B$16),0)+IFERROR(XLOOKUP(E21,'Recipes Snacks'!$A$3:$A$16,'Recipes Snacks'!$B$3:$B$16),0)+IFERROR(XLOOKUP(F21,'Recipes Snacks'!$A$3:$A$16,'Recipes Snacks'!$B$3:$B$16),0)+IFERROR(XLOOKUP(G21,'Recipes Snacks'!$A$3:$A$16,'Recipes Snacks'!$B$3:$B$16),0)+IFERROR(XLOOKUP(H21,'Recipes Snacks'!$A$3:$A$16,'Recipes Snacks'!$B$3:$B$16),0)</f>
        <v/>
      </c>
      <c r="J21" s="107">
        <f>IFERROR(XLOOKUP(D21,'Recipes Snacks'!$A$3:$A$16,'Recipes Snacks'!$C$3:$C$16),0)+IFERROR(XLOOKUP(E21,'Recipes Snacks'!$A$3:$A$16,'Recipes Snacks'!$C$3:$C$16),0)+IFERROR(XLOOKUP(F21,'Recipes Snacks'!$A$3:$A$16,'Recipes Snacks'!$C$3:$C$16),0)+IFERROR(XLOOKUP(G21,'Recipes Snacks'!$A$3:$A$16,'Recipes Snacks'!$C$3:$C$16),0)+IFERROR(XLOOKUP(H21,'Recipes Snacks'!$A$3:$A$16,'Recipes Snacks'!$C$3:$C$16),0)</f>
        <v/>
      </c>
      <c r="K21" s="35" t="inlineStr">
        <is>
          <t>≈2,005 kcal. Fish meal day.</t>
        </is>
      </c>
      <c r="L21" s="34" t="inlineStr">
        <is>
          <t>4:00 AM wake; water + coffee/tea</t>
        </is>
      </c>
      <c r="M21" s="34" t="inlineStr">
        <is>
          <t>8:30 AM pre-workout breakfast</t>
        </is>
      </c>
      <c r="N21" s="34" t="inlineStr">
        <is>
          <t>9:45–11:15 AM</t>
        </is>
      </c>
      <c r="O21" s="34" t="inlineStr">
        <is>
          <t>12:15 PM post-workout lunch</t>
        </is>
      </c>
      <c r="P21" s="34" t="inlineStr">
        <is>
          <t>3:45 PM</t>
        </is>
      </c>
      <c r="Q21" s="34" t="inlineStr">
        <is>
          <t>7:00 PM</t>
        </is>
      </c>
      <c r="R21" s="34" t="inlineStr">
        <is>
          <t>Hard lower-body day: keep breakfast/lunch carbs; do not skip lunch.</t>
        </is>
      </c>
    </row>
    <row r="22">
      <c r="A22" s="106" t="n">
        <v>46208</v>
      </c>
      <c r="B22" s="35" t="n">
        <v>3</v>
      </c>
      <c r="C22" s="35" t="inlineStr">
        <is>
          <t>Active Recovery</t>
        </is>
      </c>
      <c r="D22" s="35" t="inlineStr">
        <is>
          <t>Protein Oatmeal</t>
        </is>
      </c>
      <c r="E22" s="35" t="inlineStr">
        <is>
          <t>Tuna Greek Yogurt Wrap</t>
        </is>
      </c>
      <c r="F22" s="35" t="inlineStr">
        <is>
          <t>Chicken Rice Bowl</t>
        </is>
      </c>
      <c r="G22" s="35" t="inlineStr">
        <is>
          <t>Protein Bar Emergency</t>
        </is>
      </c>
      <c r="H22" s="35" t="inlineStr">
        <is>
          <t>Apple</t>
        </is>
      </c>
      <c r="I22" s="107">
        <f>IFERROR(XLOOKUP(D22,'Recipes Snacks'!$A$3:$A$16,'Recipes Snacks'!$B$3:$B$16),0)+IFERROR(XLOOKUP(E22,'Recipes Snacks'!$A$3:$A$16,'Recipes Snacks'!$B$3:$B$16),0)+IFERROR(XLOOKUP(F22,'Recipes Snacks'!$A$3:$A$16,'Recipes Snacks'!$B$3:$B$16),0)+IFERROR(XLOOKUP(G22,'Recipes Snacks'!$A$3:$A$16,'Recipes Snacks'!$B$3:$B$16),0)+IFERROR(XLOOKUP(H22,'Recipes Snacks'!$A$3:$A$16,'Recipes Snacks'!$B$3:$B$16),0)</f>
        <v/>
      </c>
      <c r="J22" s="107">
        <f>IFERROR(XLOOKUP(D22,'Recipes Snacks'!$A$3:$A$16,'Recipes Snacks'!$C$3:$C$16),0)+IFERROR(XLOOKUP(E22,'Recipes Snacks'!$A$3:$A$16,'Recipes Snacks'!$C$3:$C$16),0)+IFERROR(XLOOKUP(F22,'Recipes Snacks'!$A$3:$A$16,'Recipes Snacks'!$C$3:$C$16),0)+IFERROR(XLOOKUP(G22,'Recipes Snacks'!$A$3:$A$16,'Recipes Snacks'!$C$3:$C$16),0)+IFERROR(XLOOKUP(H22,'Recipes Snacks'!$A$3:$A$16,'Recipes Snacks'!$C$3:$C$16),0)</f>
        <v/>
      </c>
      <c r="K22" s="35" t="inlineStr">
        <is>
          <t>–1,960 kcal active-recovery day. Apple added to clear the 1,900 floor.</t>
        </is>
      </c>
      <c r="L22" s="34" t="inlineStr">
        <is>
          <t>4:00 AM wake; water + coffee/tea</t>
        </is>
      </c>
      <c r="M22" s="34" t="inlineStr">
        <is>
          <t>8:30 AM</t>
        </is>
      </c>
      <c r="N22" s="34" t="inlineStr">
        <is>
          <t>Walk 45–60 min anytime</t>
        </is>
      </c>
      <c r="O22" s="34" t="inlineStr">
        <is>
          <t>12:00 PM</t>
        </is>
      </c>
      <c r="P22" s="34" t="inlineStr">
        <is>
          <t>3:30 PM</t>
        </is>
      </c>
      <c r="Q22" s="34" t="inlineStr">
        <is>
          <t>7:00 PM</t>
        </is>
      </c>
      <c r="R22" s="34" t="inlineStr">
        <is>
          <t>Active recovery: long walk 45–60 min; eat meals as planned.</t>
        </is>
      </c>
    </row>
    <row r="23">
      <c r="A23" s="106" t="n">
        <v>46209</v>
      </c>
      <c r="B23" s="35" t="n">
        <v>3</v>
      </c>
      <c r="C23" s="35" t="inlineStr">
        <is>
          <t>Rest</t>
        </is>
      </c>
      <c r="D23" s="35" t="inlineStr">
        <is>
          <t>Greek Yogurt Protein Bowl</t>
        </is>
      </c>
      <c r="E23" s="35" t="inlineStr">
        <is>
          <t>Chicken Salad Wrap</t>
        </is>
      </c>
      <c r="F23" s="35" t="inlineStr">
        <is>
          <t>Lean Beef Potato Bowl</t>
        </is>
      </c>
      <c r="G23" s="35" t="inlineStr">
        <is>
          <t>Boiled Eggs + Fruit</t>
        </is>
      </c>
      <c r="H23" s="35" t="str"/>
      <c r="I23" s="107">
        <f>IFERROR(XLOOKUP(D23,'Recipes Snacks'!$A$3:$A$16,'Recipes Snacks'!$B$3:$B$16),0)+IFERROR(XLOOKUP(E23,'Recipes Snacks'!$A$3:$A$16,'Recipes Snacks'!$B$3:$B$16),0)+IFERROR(XLOOKUP(F23,'Recipes Snacks'!$A$3:$A$16,'Recipes Snacks'!$B$3:$B$16),0)+IFERROR(XLOOKUP(G23,'Recipes Snacks'!$A$3:$A$16,'Recipes Snacks'!$B$3:$B$16),0)+IFERROR(XLOOKUP(H23,'Recipes Snacks'!$A$3:$A$16,'Recipes Snacks'!$B$3:$B$16),0)</f>
        <v/>
      </c>
      <c r="J23" s="107">
        <f>IFERROR(XLOOKUP(D23,'Recipes Snacks'!$A$3:$A$16,'Recipes Snacks'!$C$3:$C$16),0)+IFERROR(XLOOKUP(E23,'Recipes Snacks'!$A$3:$A$16,'Recipes Snacks'!$C$3:$C$16),0)+IFERROR(XLOOKUP(F23,'Recipes Snacks'!$A$3:$A$16,'Recipes Snacks'!$C$3:$C$16),0)+IFERROR(XLOOKUP(G23,'Recipes Snacks'!$A$3:$A$16,'Recipes Snacks'!$C$3:$C$16),0)+IFERROR(XLOOKUP(H23,'Recipes Snacks'!$A$3:$A$16,'Recipes Snacks'!$C$3:$C$16),0)</f>
        <v/>
      </c>
      <c r="K23" s="35" t="inlineStr">
        <is>
          <t>≈1,940 kcal. Slightly lower-carb rest day.</t>
        </is>
      </c>
      <c r="L23" s="34" t="inlineStr">
        <is>
          <t>4:00 AM wake; water + coffee/tea</t>
        </is>
      </c>
      <c r="M23" s="34" t="inlineStr">
        <is>
          <t>8:30 AM</t>
        </is>
      </c>
      <c r="N23" s="34" t="inlineStr">
        <is>
          <t>No gym; walk 30–60 min anytime</t>
        </is>
      </c>
      <c r="O23" s="34" t="inlineStr">
        <is>
          <t>12:30 PM</t>
        </is>
      </c>
      <c r="P23" s="34" t="inlineStr">
        <is>
          <t>3:30 PM</t>
        </is>
      </c>
      <c r="Q23" s="34" t="inlineStr">
        <is>
          <t>7:00 PM</t>
        </is>
      </c>
      <c r="R23" s="34" t="inlineStr">
        <is>
          <t>Keep carbs slightly lower; hit protein; no need for pre/post-workout timing.</t>
        </is>
      </c>
    </row>
    <row r="24">
      <c r="A24" s="106" t="n">
        <v>46210</v>
      </c>
      <c r="B24" s="35" t="n">
        <v>4</v>
      </c>
      <c r="C24" s="35" t="inlineStr">
        <is>
          <t>Push</t>
        </is>
      </c>
      <c r="D24" s="35" t="inlineStr">
        <is>
          <t>Egg Turkey Toast Plate</t>
        </is>
      </c>
      <c r="E24" s="35" t="inlineStr">
        <is>
          <t>Chicken Rice Bowl</t>
        </is>
      </c>
      <c r="F24" s="35" t="inlineStr">
        <is>
          <t>Ground Turkey Pasta</t>
        </is>
      </c>
      <c r="G24" s="35" t="inlineStr">
        <is>
          <t>Greek Yogurt + Apple</t>
        </is>
      </c>
      <c r="H24" s="35" t="str"/>
      <c r="I24" s="107">
        <f>IFERROR(XLOOKUP(D24,'Recipes Snacks'!$A$3:$A$16,'Recipes Snacks'!$B$3:$B$16),0)+IFERROR(XLOOKUP(E24,'Recipes Snacks'!$A$3:$A$16,'Recipes Snacks'!$B$3:$B$16),0)+IFERROR(XLOOKUP(F24,'Recipes Snacks'!$A$3:$A$16,'Recipes Snacks'!$B$3:$B$16),0)+IFERROR(XLOOKUP(G24,'Recipes Snacks'!$A$3:$A$16,'Recipes Snacks'!$B$3:$B$16),0)+IFERROR(XLOOKUP(H24,'Recipes Snacks'!$A$3:$A$16,'Recipes Snacks'!$B$3:$B$16),0)</f>
        <v/>
      </c>
      <c r="J24" s="107">
        <f>IFERROR(XLOOKUP(D24,'Recipes Snacks'!$A$3:$A$16,'Recipes Snacks'!$C$3:$C$16),0)+IFERROR(XLOOKUP(E24,'Recipes Snacks'!$A$3:$A$16,'Recipes Snacks'!$C$3:$C$16),0)+IFERROR(XLOOKUP(F24,'Recipes Snacks'!$A$3:$A$16,'Recipes Snacks'!$C$3:$C$16),0)+IFERROR(XLOOKUP(G24,'Recipes Snacks'!$A$3:$A$16,'Recipes Snacks'!$C$3:$C$16),0)+IFERROR(XLOOKUP(H24,'Recipes Snacks'!$A$3:$A$16,'Recipes Snacks'!$C$3:$C$16),0)</f>
        <v/>
      </c>
      <c r="K24" s="35" t="inlineStr">
        <is>
          <t>≈1,940 kcal. Add fruit only if training energy is low.</t>
        </is>
      </c>
      <c r="L24" s="34" t="inlineStr">
        <is>
          <t>4:00 AM wake; water + coffee/tea</t>
        </is>
      </c>
      <c r="M24" s="34" t="inlineStr">
        <is>
          <t>8:30 AM pre-workout breakfast</t>
        </is>
      </c>
      <c r="N24" s="34" t="inlineStr">
        <is>
          <t>9:45–11:00 AM</t>
        </is>
      </c>
      <c r="O24" s="34" t="inlineStr">
        <is>
          <t>12:00 PM post-workout lunch</t>
        </is>
      </c>
      <c r="P24" s="34" t="inlineStr">
        <is>
          <t>3:30 PM</t>
        </is>
      </c>
      <c r="Q24" s="34" t="inlineStr">
        <is>
          <t>7:00 PM</t>
        </is>
      </c>
      <c r="R24" s="34" t="inlineStr">
        <is>
          <t>Best default: lift after work block, then eat lunch within 1–2 hours.</t>
        </is>
      </c>
    </row>
    <row r="25">
      <c r="A25" s="106" t="n">
        <v>46211</v>
      </c>
      <c r="B25" s="35" t="n">
        <v>4</v>
      </c>
      <c r="C25" s="35" t="inlineStr">
        <is>
          <t>Pull</t>
        </is>
      </c>
      <c r="D25" s="35" t="inlineStr">
        <is>
          <t>Greek Yogurt Protein Bowl</t>
        </is>
      </c>
      <c r="E25" s="35" t="inlineStr">
        <is>
          <t>Tuna Greek Yogurt Wrap</t>
        </is>
      </c>
      <c r="F25" s="35" t="inlineStr">
        <is>
          <t>Chicken Rice Bowl</t>
        </is>
      </c>
      <c r="G25" s="35" t="inlineStr">
        <is>
          <t>Cottage Cheese Fruit Bowl</t>
        </is>
      </c>
      <c r="H25" s="35" t="str"/>
      <c r="I25" s="107">
        <f>IFERROR(XLOOKUP(D25,'Recipes Snacks'!$A$3:$A$16,'Recipes Snacks'!$B$3:$B$16),0)+IFERROR(XLOOKUP(E25,'Recipes Snacks'!$A$3:$A$16,'Recipes Snacks'!$B$3:$B$16),0)+IFERROR(XLOOKUP(F25,'Recipes Snacks'!$A$3:$A$16,'Recipes Snacks'!$B$3:$B$16),0)+IFERROR(XLOOKUP(G25,'Recipes Snacks'!$A$3:$A$16,'Recipes Snacks'!$B$3:$B$16),0)+IFERROR(XLOOKUP(H25,'Recipes Snacks'!$A$3:$A$16,'Recipes Snacks'!$B$3:$B$16),0)</f>
        <v/>
      </c>
      <c r="J25" s="107">
        <f>IFERROR(XLOOKUP(D25,'Recipes Snacks'!$A$3:$A$16,'Recipes Snacks'!$C$3:$C$16),0)+IFERROR(XLOOKUP(E25,'Recipes Snacks'!$A$3:$A$16,'Recipes Snacks'!$C$3:$C$16),0)+IFERROR(XLOOKUP(F25,'Recipes Snacks'!$A$3:$A$16,'Recipes Snacks'!$C$3:$C$16),0)+IFERROR(XLOOKUP(G25,'Recipes Snacks'!$A$3:$A$16,'Recipes Snacks'!$C$3:$C$16),0)+IFERROR(XLOOKUP(H25,'Recipes Snacks'!$A$3:$A$16,'Recipes Snacks'!$C$3:$C$16),0)</f>
        <v/>
      </c>
      <c r="K25" s="35" t="inlineStr">
        <is>
          <t>≈1,915 kcal. Good protein day.</t>
        </is>
      </c>
      <c r="L25" s="34" t="inlineStr">
        <is>
          <t>4:00 AM wake; water + coffee/tea</t>
        </is>
      </c>
      <c r="M25" s="34" t="inlineStr">
        <is>
          <t>8:30 AM pre-workout breakfast</t>
        </is>
      </c>
      <c r="N25" s="34" t="inlineStr">
        <is>
          <t>9:45–11:00 AM</t>
        </is>
      </c>
      <c r="O25" s="34" t="inlineStr">
        <is>
          <t>12:00 PM post-workout lunch</t>
        </is>
      </c>
      <c r="P25" s="34" t="inlineStr">
        <is>
          <t>3:30 PM</t>
        </is>
      </c>
      <c r="Q25" s="34" t="inlineStr">
        <is>
          <t>7:00 PM</t>
        </is>
      </c>
      <c r="R25" s="34" t="inlineStr">
        <is>
          <t>Best default: lift after work block, then eat lunch within 1–2 hours.</t>
        </is>
      </c>
    </row>
    <row r="26">
      <c r="A26" s="106" t="n">
        <v>46212</v>
      </c>
      <c r="B26" s="35" t="n">
        <v>4</v>
      </c>
      <c r="C26" s="35" t="inlineStr">
        <is>
          <t>Legs</t>
        </is>
      </c>
      <c r="D26" s="35" t="inlineStr">
        <is>
          <t>Protein Oatmeal</t>
        </is>
      </c>
      <c r="E26" s="35" t="inlineStr">
        <is>
          <t>Chicken Rice Bowl</t>
        </is>
      </c>
      <c r="F26" s="35" t="inlineStr">
        <is>
          <t>Lean Beef Potato Bowl</t>
        </is>
      </c>
      <c r="G26" s="35" t="inlineStr">
        <is>
          <t>Whey Shake + Banana</t>
        </is>
      </c>
      <c r="H26" s="35" t="str"/>
      <c r="I26" s="107">
        <f>IFERROR(XLOOKUP(D26,'Recipes Snacks'!$A$3:$A$16,'Recipes Snacks'!$B$3:$B$16),0)+IFERROR(XLOOKUP(E26,'Recipes Snacks'!$A$3:$A$16,'Recipes Snacks'!$B$3:$B$16),0)+IFERROR(XLOOKUP(F26,'Recipes Snacks'!$A$3:$A$16,'Recipes Snacks'!$B$3:$B$16),0)+IFERROR(XLOOKUP(G26,'Recipes Snacks'!$A$3:$A$16,'Recipes Snacks'!$B$3:$B$16),0)+IFERROR(XLOOKUP(H26,'Recipes Snacks'!$A$3:$A$16,'Recipes Snacks'!$B$3:$B$16),0)</f>
        <v/>
      </c>
      <c r="J26" s="107">
        <f>IFERROR(XLOOKUP(D26,'Recipes Snacks'!$A$3:$A$16,'Recipes Snacks'!$C$3:$C$16),0)+IFERROR(XLOOKUP(E26,'Recipes Snacks'!$A$3:$A$16,'Recipes Snacks'!$C$3:$C$16),0)+IFERROR(XLOOKUP(F26,'Recipes Snacks'!$A$3:$A$16,'Recipes Snacks'!$C$3:$C$16),0)+IFERROR(XLOOKUP(G26,'Recipes Snacks'!$A$3:$A$16,'Recipes Snacks'!$C$3:$C$16),0)+IFERROR(XLOOKUP(H26,'Recipes Snacks'!$A$3:$A$16,'Recipes Snacks'!$C$3:$C$16),0)</f>
        <v/>
      </c>
      <c r="K26" s="35" t="inlineStr">
        <is>
          <t>≈1,990 kcal. Highest-carb leg day.</t>
        </is>
      </c>
      <c r="L26" s="34" t="inlineStr">
        <is>
          <t>4:00 AM wake; water + coffee/tea</t>
        </is>
      </c>
      <c r="M26" s="34" t="inlineStr">
        <is>
          <t>8:30 AM pre-workout breakfast</t>
        </is>
      </c>
      <c r="N26" s="34" t="inlineStr">
        <is>
          <t>9:45–11:15 AM</t>
        </is>
      </c>
      <c r="O26" s="34" t="inlineStr">
        <is>
          <t>12:15 PM post-workout lunch</t>
        </is>
      </c>
      <c r="P26" s="34" t="inlineStr">
        <is>
          <t>3:45 PM</t>
        </is>
      </c>
      <c r="Q26" s="34" t="inlineStr">
        <is>
          <t>7:00 PM</t>
        </is>
      </c>
      <c r="R26" s="34" t="inlineStr">
        <is>
          <t>Hard lower-body day: keep breakfast/lunch carbs; do not skip lunch.</t>
        </is>
      </c>
    </row>
    <row r="27">
      <c r="A27" s="106" t="n">
        <v>46213</v>
      </c>
      <c r="B27" s="35" t="n">
        <v>4</v>
      </c>
      <c r="C27" s="35" t="inlineStr">
        <is>
          <t>Upper</t>
        </is>
      </c>
      <c r="D27" s="35" t="inlineStr">
        <is>
          <t>Egg Turkey Toast Plate</t>
        </is>
      </c>
      <c r="E27" s="35" t="inlineStr">
        <is>
          <t>Ground Turkey Pasta</t>
        </is>
      </c>
      <c r="F27" s="35" t="inlineStr">
        <is>
          <t>Chicken Salad Wrap</t>
        </is>
      </c>
      <c r="G27" s="35" t="inlineStr">
        <is>
          <t>Cottage Cheese Fruit Bowl</t>
        </is>
      </c>
      <c r="H27" s="35" t="str"/>
      <c r="I27" s="107">
        <f>IFERROR(XLOOKUP(D27,'Recipes Snacks'!$A$3:$A$16,'Recipes Snacks'!$B$3:$B$16),0)+IFERROR(XLOOKUP(E27,'Recipes Snacks'!$A$3:$A$16,'Recipes Snacks'!$B$3:$B$16),0)+IFERROR(XLOOKUP(F27,'Recipes Snacks'!$A$3:$A$16,'Recipes Snacks'!$B$3:$B$16),0)+IFERROR(XLOOKUP(G27,'Recipes Snacks'!$A$3:$A$16,'Recipes Snacks'!$B$3:$B$16),0)+IFERROR(XLOOKUP(H27,'Recipes Snacks'!$A$3:$A$16,'Recipes Snacks'!$B$3:$B$16),0)</f>
        <v/>
      </c>
      <c r="J27" s="107">
        <f>IFERROR(XLOOKUP(D27,'Recipes Snacks'!$A$3:$A$16,'Recipes Snacks'!$C$3:$C$16),0)+IFERROR(XLOOKUP(E27,'Recipes Snacks'!$A$3:$A$16,'Recipes Snacks'!$C$3:$C$16),0)+IFERROR(XLOOKUP(F27,'Recipes Snacks'!$A$3:$A$16,'Recipes Snacks'!$C$3:$C$16),0)+IFERROR(XLOOKUP(G27,'Recipes Snacks'!$A$3:$A$16,'Recipes Snacks'!$C$3:$C$16),0)+IFERROR(XLOOKUP(H27,'Recipes Snacks'!$A$3:$A$16,'Recipes Snacks'!$C$3:$C$16),0)</f>
        <v/>
      </c>
      <c r="K27" s="35" t="inlineStr">
        <is>
          <t>≈1,915 kcal. Good protein distribution.</t>
        </is>
      </c>
      <c r="L27" s="34" t="inlineStr">
        <is>
          <t>4:00 AM wake; water + coffee/tea</t>
        </is>
      </c>
      <c r="M27" s="34" t="inlineStr">
        <is>
          <t>8:30 AM pre-workout breakfast</t>
        </is>
      </c>
      <c r="N27" s="34" t="inlineStr">
        <is>
          <t>9:45–11:00 AM</t>
        </is>
      </c>
      <c r="O27" s="34" t="inlineStr">
        <is>
          <t>12:00 PM post-workout lunch</t>
        </is>
      </c>
      <c r="P27" s="34" t="inlineStr">
        <is>
          <t>3:30 PM</t>
        </is>
      </c>
      <c r="Q27" s="34" t="inlineStr">
        <is>
          <t>7:00 PM</t>
        </is>
      </c>
      <c r="R27" s="34" t="inlineStr">
        <is>
          <t>Best default: lift after work block, then eat lunch within 1–2 hours.</t>
        </is>
      </c>
    </row>
    <row r="28">
      <c r="A28" s="106" t="n">
        <v>46214</v>
      </c>
      <c r="B28" s="35" t="n">
        <v>4</v>
      </c>
      <c r="C28" s="35" t="inlineStr">
        <is>
          <t>Lower + Core</t>
        </is>
      </c>
      <c r="D28" s="35" t="inlineStr">
        <is>
          <t>Greek Yogurt Protein Bowl</t>
        </is>
      </c>
      <c r="E28" s="35" t="inlineStr">
        <is>
          <t>Chicken Rice Bowl</t>
        </is>
      </c>
      <c r="F28" s="35" t="inlineStr">
        <is>
          <t>Salmon Potato Plate</t>
        </is>
      </c>
      <c r="G28" s="35" t="inlineStr">
        <is>
          <t>Greek Yogurt + Apple</t>
        </is>
      </c>
      <c r="H28" s="35" t="str"/>
      <c r="I28" s="107">
        <f>IFERROR(XLOOKUP(D28,'Recipes Snacks'!$A$3:$A$16,'Recipes Snacks'!$B$3:$B$16),0)+IFERROR(XLOOKUP(E28,'Recipes Snacks'!$A$3:$A$16,'Recipes Snacks'!$B$3:$B$16),0)+IFERROR(XLOOKUP(F28,'Recipes Snacks'!$A$3:$A$16,'Recipes Snacks'!$B$3:$B$16),0)+IFERROR(XLOOKUP(G28,'Recipes Snacks'!$A$3:$A$16,'Recipes Snacks'!$B$3:$B$16),0)+IFERROR(XLOOKUP(H28,'Recipes Snacks'!$A$3:$A$16,'Recipes Snacks'!$B$3:$B$16),0)</f>
        <v/>
      </c>
      <c r="J28" s="107">
        <f>IFERROR(XLOOKUP(D28,'Recipes Snacks'!$A$3:$A$16,'Recipes Snacks'!$C$3:$C$16),0)+IFERROR(XLOOKUP(E28,'Recipes Snacks'!$A$3:$A$16,'Recipes Snacks'!$C$3:$C$16),0)+IFERROR(XLOOKUP(F28,'Recipes Snacks'!$A$3:$A$16,'Recipes Snacks'!$C$3:$C$16),0)+IFERROR(XLOOKUP(G28,'Recipes Snacks'!$A$3:$A$16,'Recipes Snacks'!$C$3:$C$16),0)+IFERROR(XLOOKUP(H28,'Recipes Snacks'!$A$3:$A$16,'Recipes Snacks'!$C$3:$C$16),0)</f>
        <v/>
      </c>
      <c r="K28" s="35" t="inlineStr">
        <is>
          <t>≈2,005 kcal. Fish meal day.</t>
        </is>
      </c>
      <c r="L28" s="34" t="inlineStr">
        <is>
          <t>4:00 AM wake; water + coffee/tea</t>
        </is>
      </c>
      <c r="M28" s="34" t="inlineStr">
        <is>
          <t>8:30 AM pre-workout breakfast</t>
        </is>
      </c>
      <c r="N28" s="34" t="inlineStr">
        <is>
          <t>9:45–11:15 AM</t>
        </is>
      </c>
      <c r="O28" s="34" t="inlineStr">
        <is>
          <t>12:15 PM post-workout lunch</t>
        </is>
      </c>
      <c r="P28" s="34" t="inlineStr">
        <is>
          <t>3:45 PM</t>
        </is>
      </c>
      <c r="Q28" s="34" t="inlineStr">
        <is>
          <t>7:00 PM</t>
        </is>
      </c>
      <c r="R28" s="34" t="inlineStr">
        <is>
          <t>Hard lower-body day: keep breakfast/lunch carbs; do not skip lunch.</t>
        </is>
      </c>
    </row>
    <row r="29">
      <c r="A29" s="106" t="n">
        <v>46215</v>
      </c>
      <c r="B29" s="35" t="n">
        <v>4</v>
      </c>
      <c r="C29" s="35" t="inlineStr">
        <is>
          <t>Active Recovery</t>
        </is>
      </c>
      <c r="D29" s="35" t="inlineStr">
        <is>
          <t>Protein Oatmeal</t>
        </is>
      </c>
      <c r="E29" s="35" t="inlineStr">
        <is>
          <t>Tuna Greek Yogurt Wrap</t>
        </is>
      </c>
      <c r="F29" s="35" t="inlineStr">
        <is>
          <t>Chicken Rice Bowl</t>
        </is>
      </c>
      <c r="G29" s="35" t="inlineStr">
        <is>
          <t>Protein Bar Emergency</t>
        </is>
      </c>
      <c r="H29" s="35" t="inlineStr">
        <is>
          <t>Apple</t>
        </is>
      </c>
      <c r="I29" s="107">
        <f>IFERROR(XLOOKUP(D29,'Recipes Snacks'!$A$3:$A$16,'Recipes Snacks'!$B$3:$B$16),0)+IFERROR(XLOOKUP(E29,'Recipes Snacks'!$A$3:$A$16,'Recipes Snacks'!$B$3:$B$16),0)+IFERROR(XLOOKUP(F29,'Recipes Snacks'!$A$3:$A$16,'Recipes Snacks'!$B$3:$B$16),0)+IFERROR(XLOOKUP(G29,'Recipes Snacks'!$A$3:$A$16,'Recipes Snacks'!$B$3:$B$16),0)+IFERROR(XLOOKUP(H29,'Recipes Snacks'!$A$3:$A$16,'Recipes Snacks'!$B$3:$B$16),0)</f>
        <v/>
      </c>
      <c r="J29" s="107">
        <f>IFERROR(XLOOKUP(D29,'Recipes Snacks'!$A$3:$A$16,'Recipes Snacks'!$C$3:$C$16),0)+IFERROR(XLOOKUP(E29,'Recipes Snacks'!$A$3:$A$16,'Recipes Snacks'!$C$3:$C$16),0)+IFERROR(XLOOKUP(F29,'Recipes Snacks'!$A$3:$A$16,'Recipes Snacks'!$C$3:$C$16),0)+IFERROR(XLOOKUP(G29,'Recipes Snacks'!$A$3:$A$16,'Recipes Snacks'!$C$3:$C$16),0)+IFERROR(XLOOKUP(H29,'Recipes Snacks'!$A$3:$A$16,'Recipes Snacks'!$C$3:$C$16),0)</f>
        <v/>
      </c>
      <c r="K29" s="35" t="inlineStr">
        <is>
          <t>–1,960 kcal active-recovery day. Apple added to clear the 1,900 floor.</t>
        </is>
      </c>
      <c r="L29" s="34" t="inlineStr">
        <is>
          <t>4:00 AM wake; water + coffee/tea</t>
        </is>
      </c>
      <c r="M29" s="34" t="inlineStr">
        <is>
          <t>8:30 AM</t>
        </is>
      </c>
      <c r="N29" s="34" t="inlineStr">
        <is>
          <t>Walk 45–60 min anytime</t>
        </is>
      </c>
      <c r="O29" s="34" t="inlineStr">
        <is>
          <t>12:00 PM</t>
        </is>
      </c>
      <c r="P29" s="34" t="inlineStr">
        <is>
          <t>3:30 PM</t>
        </is>
      </c>
      <c r="Q29" s="34" t="inlineStr">
        <is>
          <t>7:00 PM</t>
        </is>
      </c>
      <c r="R29" s="34" t="inlineStr">
        <is>
          <t>Active recovery: long walk 45–60 min; eat meals as planned.</t>
        </is>
      </c>
    </row>
    <row r="30">
      <c r="A30" s="106" t="n">
        <v>46216</v>
      </c>
      <c r="B30" s="35" t="n">
        <v>4</v>
      </c>
      <c r="C30" s="35" t="inlineStr">
        <is>
          <t>Rest</t>
        </is>
      </c>
      <c r="D30" s="35" t="inlineStr">
        <is>
          <t>Greek Yogurt Protein Bowl</t>
        </is>
      </c>
      <c r="E30" s="35" t="inlineStr">
        <is>
          <t>Chicken Salad Wrap</t>
        </is>
      </c>
      <c r="F30" s="35" t="inlineStr">
        <is>
          <t>Lean Beef Potato Bowl</t>
        </is>
      </c>
      <c r="G30" s="35" t="inlineStr">
        <is>
          <t>Boiled Eggs + Fruit</t>
        </is>
      </c>
      <c r="H30" s="35" t="str"/>
      <c r="I30" s="107">
        <f>IFERROR(XLOOKUP(D30,'Recipes Snacks'!$A$3:$A$16,'Recipes Snacks'!$B$3:$B$16),0)+IFERROR(XLOOKUP(E30,'Recipes Snacks'!$A$3:$A$16,'Recipes Snacks'!$B$3:$B$16),0)+IFERROR(XLOOKUP(F30,'Recipes Snacks'!$A$3:$A$16,'Recipes Snacks'!$B$3:$B$16),0)+IFERROR(XLOOKUP(G30,'Recipes Snacks'!$A$3:$A$16,'Recipes Snacks'!$B$3:$B$16),0)+IFERROR(XLOOKUP(H30,'Recipes Snacks'!$A$3:$A$16,'Recipes Snacks'!$B$3:$B$16),0)</f>
        <v/>
      </c>
      <c r="J30" s="107">
        <f>IFERROR(XLOOKUP(D30,'Recipes Snacks'!$A$3:$A$16,'Recipes Snacks'!$C$3:$C$16),0)+IFERROR(XLOOKUP(E30,'Recipes Snacks'!$A$3:$A$16,'Recipes Snacks'!$C$3:$C$16),0)+IFERROR(XLOOKUP(F30,'Recipes Snacks'!$A$3:$A$16,'Recipes Snacks'!$C$3:$C$16),0)+IFERROR(XLOOKUP(G30,'Recipes Snacks'!$A$3:$A$16,'Recipes Snacks'!$C$3:$C$16),0)+IFERROR(XLOOKUP(H30,'Recipes Snacks'!$A$3:$A$16,'Recipes Snacks'!$C$3:$C$16),0)</f>
        <v/>
      </c>
      <c r="K30" s="35" t="inlineStr">
        <is>
          <t>≈1,940 kcal. Slightly lower-carb rest day.</t>
        </is>
      </c>
      <c r="L30" s="34" t="inlineStr">
        <is>
          <t>4:00 AM wake; water + coffee/tea</t>
        </is>
      </c>
      <c r="M30" s="34" t="inlineStr">
        <is>
          <t>8:30 AM</t>
        </is>
      </c>
      <c r="N30" s="34" t="inlineStr">
        <is>
          <t>No gym; walk 30–60 min anytime</t>
        </is>
      </c>
      <c r="O30" s="34" t="inlineStr">
        <is>
          <t>12:30 PM</t>
        </is>
      </c>
      <c r="P30" s="34" t="inlineStr">
        <is>
          <t>3:30 PM</t>
        </is>
      </c>
      <c r="Q30" s="34" t="inlineStr">
        <is>
          <t>7:00 PM</t>
        </is>
      </c>
      <c r="R30" s="34" t="inlineStr">
        <is>
          <t>Keep carbs slightly lower; hit protein; no need for pre/post-workout timing.</t>
        </is>
      </c>
    </row>
    <row r="31">
      <c r="A31" s="106" t="n">
        <v>46217</v>
      </c>
      <c r="B31" s="35" t="n">
        <v>5</v>
      </c>
      <c r="C31" s="35" t="inlineStr">
        <is>
          <t>Push</t>
        </is>
      </c>
      <c r="D31" s="35" t="inlineStr">
        <is>
          <t>Egg Turkey Toast Plate</t>
        </is>
      </c>
      <c r="E31" s="35" t="inlineStr">
        <is>
          <t>Chicken Rice Bowl</t>
        </is>
      </c>
      <c r="F31" s="35" t="inlineStr">
        <is>
          <t>Ground Turkey Pasta</t>
        </is>
      </c>
      <c r="G31" s="35" t="inlineStr">
        <is>
          <t>Greek Yogurt + Apple</t>
        </is>
      </c>
      <c r="H31" s="35" t="str"/>
      <c r="I31" s="107">
        <f>IFERROR(XLOOKUP(D31,'Recipes Snacks'!$A$3:$A$16,'Recipes Snacks'!$B$3:$B$16),0)+IFERROR(XLOOKUP(E31,'Recipes Snacks'!$A$3:$A$16,'Recipes Snacks'!$B$3:$B$16),0)+IFERROR(XLOOKUP(F31,'Recipes Snacks'!$A$3:$A$16,'Recipes Snacks'!$B$3:$B$16),0)+IFERROR(XLOOKUP(G31,'Recipes Snacks'!$A$3:$A$16,'Recipes Snacks'!$B$3:$B$16),0)+IFERROR(XLOOKUP(H31,'Recipes Snacks'!$A$3:$A$16,'Recipes Snacks'!$B$3:$B$16),0)</f>
        <v/>
      </c>
      <c r="J31" s="107">
        <f>IFERROR(XLOOKUP(D31,'Recipes Snacks'!$A$3:$A$16,'Recipes Snacks'!$C$3:$C$16),0)+IFERROR(XLOOKUP(E31,'Recipes Snacks'!$A$3:$A$16,'Recipes Snacks'!$C$3:$C$16),0)+IFERROR(XLOOKUP(F31,'Recipes Snacks'!$A$3:$A$16,'Recipes Snacks'!$C$3:$C$16),0)+IFERROR(XLOOKUP(G31,'Recipes Snacks'!$A$3:$A$16,'Recipes Snacks'!$C$3:$C$16),0)+IFERROR(XLOOKUP(H31,'Recipes Snacks'!$A$3:$A$16,'Recipes Snacks'!$C$3:$C$16),0)</f>
        <v/>
      </c>
      <c r="K31" s="35" t="inlineStr">
        <is>
          <t>≈1,940 kcal. Add fruit only if training energy is low.</t>
        </is>
      </c>
      <c r="L31" s="34" t="inlineStr">
        <is>
          <t>4:00 AM wake; water + coffee/tea</t>
        </is>
      </c>
      <c r="M31" s="34" t="inlineStr">
        <is>
          <t>8:30 AM pre-workout breakfast</t>
        </is>
      </c>
      <c r="N31" s="34" t="inlineStr">
        <is>
          <t>9:45–11:00 AM</t>
        </is>
      </c>
      <c r="O31" s="34" t="inlineStr">
        <is>
          <t>12:00 PM post-workout lunch</t>
        </is>
      </c>
      <c r="P31" s="34" t="inlineStr">
        <is>
          <t>3:30 PM</t>
        </is>
      </c>
      <c r="Q31" s="34" t="inlineStr">
        <is>
          <t>7:00 PM</t>
        </is>
      </c>
      <c r="R31" s="34" t="inlineStr">
        <is>
          <t>Best default: lift after work block, then eat lunch within 1–2 hours.</t>
        </is>
      </c>
    </row>
    <row r="32">
      <c r="A32" s="106" t="n">
        <v>46218</v>
      </c>
      <c r="B32" s="35" t="n">
        <v>5</v>
      </c>
      <c r="C32" s="35" t="inlineStr">
        <is>
          <t>Pull</t>
        </is>
      </c>
      <c r="D32" s="35" t="inlineStr">
        <is>
          <t>Greek Yogurt Protein Bowl</t>
        </is>
      </c>
      <c r="E32" s="35" t="inlineStr">
        <is>
          <t>Tuna Greek Yogurt Wrap</t>
        </is>
      </c>
      <c r="F32" s="35" t="inlineStr">
        <is>
          <t>Chicken Rice Bowl</t>
        </is>
      </c>
      <c r="G32" s="35" t="inlineStr">
        <is>
          <t>Cottage Cheese Fruit Bowl</t>
        </is>
      </c>
      <c r="H32" s="35" t="str"/>
      <c r="I32" s="107">
        <f>IFERROR(XLOOKUP(D32,'Recipes Snacks'!$A$3:$A$16,'Recipes Snacks'!$B$3:$B$16),0)+IFERROR(XLOOKUP(E32,'Recipes Snacks'!$A$3:$A$16,'Recipes Snacks'!$B$3:$B$16),0)+IFERROR(XLOOKUP(F32,'Recipes Snacks'!$A$3:$A$16,'Recipes Snacks'!$B$3:$B$16),0)+IFERROR(XLOOKUP(G32,'Recipes Snacks'!$A$3:$A$16,'Recipes Snacks'!$B$3:$B$16),0)+IFERROR(XLOOKUP(H32,'Recipes Snacks'!$A$3:$A$16,'Recipes Snacks'!$B$3:$B$16),0)</f>
        <v/>
      </c>
      <c r="J32" s="107">
        <f>IFERROR(XLOOKUP(D32,'Recipes Snacks'!$A$3:$A$16,'Recipes Snacks'!$C$3:$C$16),0)+IFERROR(XLOOKUP(E32,'Recipes Snacks'!$A$3:$A$16,'Recipes Snacks'!$C$3:$C$16),0)+IFERROR(XLOOKUP(F32,'Recipes Snacks'!$A$3:$A$16,'Recipes Snacks'!$C$3:$C$16),0)+IFERROR(XLOOKUP(G32,'Recipes Snacks'!$A$3:$A$16,'Recipes Snacks'!$C$3:$C$16),0)+IFERROR(XLOOKUP(H32,'Recipes Snacks'!$A$3:$A$16,'Recipes Snacks'!$C$3:$C$16),0)</f>
        <v/>
      </c>
      <c r="K32" s="35" t="inlineStr">
        <is>
          <t>≈1,915 kcal. Good protein day.</t>
        </is>
      </c>
      <c r="L32" s="34" t="inlineStr">
        <is>
          <t>4:00 AM wake; water + coffee/tea</t>
        </is>
      </c>
      <c r="M32" s="34" t="inlineStr">
        <is>
          <t>8:30 AM pre-workout breakfast</t>
        </is>
      </c>
      <c r="N32" s="34" t="inlineStr">
        <is>
          <t>9:45–11:00 AM</t>
        </is>
      </c>
      <c r="O32" s="34" t="inlineStr">
        <is>
          <t>12:00 PM post-workout lunch</t>
        </is>
      </c>
      <c r="P32" s="34" t="inlineStr">
        <is>
          <t>3:30 PM</t>
        </is>
      </c>
      <c r="Q32" s="34" t="inlineStr">
        <is>
          <t>7:00 PM</t>
        </is>
      </c>
      <c r="R32" s="34" t="inlineStr">
        <is>
          <t>Best default: lift after work block, then eat lunch within 1–2 hours.</t>
        </is>
      </c>
    </row>
    <row r="33">
      <c r="A33" s="106" t="n">
        <v>46219</v>
      </c>
      <c r="B33" s="35" t="n">
        <v>5</v>
      </c>
      <c r="C33" s="35" t="inlineStr">
        <is>
          <t>Legs</t>
        </is>
      </c>
      <c r="D33" s="35" t="inlineStr">
        <is>
          <t>Protein Oatmeal</t>
        </is>
      </c>
      <c r="E33" s="35" t="inlineStr">
        <is>
          <t>Chicken Rice Bowl</t>
        </is>
      </c>
      <c r="F33" s="35" t="inlineStr">
        <is>
          <t>Lean Beef Potato Bowl</t>
        </is>
      </c>
      <c r="G33" s="35" t="inlineStr">
        <is>
          <t>Whey Shake + Banana</t>
        </is>
      </c>
      <c r="H33" s="35" t="str"/>
      <c r="I33" s="107">
        <f>IFERROR(XLOOKUP(D33,'Recipes Snacks'!$A$3:$A$16,'Recipes Snacks'!$B$3:$B$16),0)+IFERROR(XLOOKUP(E33,'Recipes Snacks'!$A$3:$A$16,'Recipes Snacks'!$B$3:$B$16),0)+IFERROR(XLOOKUP(F33,'Recipes Snacks'!$A$3:$A$16,'Recipes Snacks'!$B$3:$B$16),0)+IFERROR(XLOOKUP(G33,'Recipes Snacks'!$A$3:$A$16,'Recipes Snacks'!$B$3:$B$16),0)+IFERROR(XLOOKUP(H33,'Recipes Snacks'!$A$3:$A$16,'Recipes Snacks'!$B$3:$B$16),0)</f>
        <v/>
      </c>
      <c r="J33" s="107">
        <f>IFERROR(XLOOKUP(D33,'Recipes Snacks'!$A$3:$A$16,'Recipes Snacks'!$C$3:$C$16),0)+IFERROR(XLOOKUP(E33,'Recipes Snacks'!$A$3:$A$16,'Recipes Snacks'!$C$3:$C$16),0)+IFERROR(XLOOKUP(F33,'Recipes Snacks'!$A$3:$A$16,'Recipes Snacks'!$C$3:$C$16),0)+IFERROR(XLOOKUP(G33,'Recipes Snacks'!$A$3:$A$16,'Recipes Snacks'!$C$3:$C$16),0)+IFERROR(XLOOKUP(H33,'Recipes Snacks'!$A$3:$A$16,'Recipes Snacks'!$C$3:$C$16),0)</f>
        <v/>
      </c>
      <c r="K33" s="35" t="inlineStr">
        <is>
          <t>≈1,990 kcal. Highest-carb leg day.</t>
        </is>
      </c>
      <c r="L33" s="34" t="inlineStr">
        <is>
          <t>4:00 AM wake; water + coffee/tea</t>
        </is>
      </c>
      <c r="M33" s="34" t="inlineStr">
        <is>
          <t>8:30 AM pre-workout breakfast</t>
        </is>
      </c>
      <c r="N33" s="34" t="inlineStr">
        <is>
          <t>9:45–11:15 AM</t>
        </is>
      </c>
      <c r="O33" s="34" t="inlineStr">
        <is>
          <t>12:15 PM post-workout lunch</t>
        </is>
      </c>
      <c r="P33" s="34" t="inlineStr">
        <is>
          <t>3:45 PM</t>
        </is>
      </c>
      <c r="Q33" s="34" t="inlineStr">
        <is>
          <t>7:00 PM</t>
        </is>
      </c>
      <c r="R33" s="34" t="inlineStr">
        <is>
          <t>Hard lower-body day: keep breakfast/lunch carbs; do not skip lunch.</t>
        </is>
      </c>
    </row>
    <row r="34">
      <c r="A34" s="106" t="n">
        <v>46220</v>
      </c>
      <c r="B34" s="35" t="n">
        <v>5</v>
      </c>
      <c r="C34" s="35" t="inlineStr">
        <is>
          <t>Upper</t>
        </is>
      </c>
      <c r="D34" s="35" t="inlineStr">
        <is>
          <t>Egg Turkey Toast Plate</t>
        </is>
      </c>
      <c r="E34" s="35" t="inlineStr">
        <is>
          <t>Ground Turkey Pasta</t>
        </is>
      </c>
      <c r="F34" s="35" t="inlineStr">
        <is>
          <t>Chicken Salad Wrap</t>
        </is>
      </c>
      <c r="G34" s="35" t="inlineStr">
        <is>
          <t>Cottage Cheese Fruit Bowl</t>
        </is>
      </c>
      <c r="H34" s="35" t="str"/>
      <c r="I34" s="107">
        <f>IFERROR(XLOOKUP(D34,'Recipes Snacks'!$A$3:$A$16,'Recipes Snacks'!$B$3:$B$16),0)+IFERROR(XLOOKUP(E34,'Recipes Snacks'!$A$3:$A$16,'Recipes Snacks'!$B$3:$B$16),0)+IFERROR(XLOOKUP(F34,'Recipes Snacks'!$A$3:$A$16,'Recipes Snacks'!$B$3:$B$16),0)+IFERROR(XLOOKUP(G34,'Recipes Snacks'!$A$3:$A$16,'Recipes Snacks'!$B$3:$B$16),0)+IFERROR(XLOOKUP(H34,'Recipes Snacks'!$A$3:$A$16,'Recipes Snacks'!$B$3:$B$16),0)</f>
        <v/>
      </c>
      <c r="J34" s="107">
        <f>IFERROR(XLOOKUP(D34,'Recipes Snacks'!$A$3:$A$16,'Recipes Snacks'!$C$3:$C$16),0)+IFERROR(XLOOKUP(E34,'Recipes Snacks'!$A$3:$A$16,'Recipes Snacks'!$C$3:$C$16),0)+IFERROR(XLOOKUP(F34,'Recipes Snacks'!$A$3:$A$16,'Recipes Snacks'!$C$3:$C$16),0)+IFERROR(XLOOKUP(G34,'Recipes Snacks'!$A$3:$A$16,'Recipes Snacks'!$C$3:$C$16),0)+IFERROR(XLOOKUP(H34,'Recipes Snacks'!$A$3:$A$16,'Recipes Snacks'!$C$3:$C$16),0)</f>
        <v/>
      </c>
      <c r="K34" s="35" t="inlineStr">
        <is>
          <t>≈1,915 kcal. Good protein distribution.</t>
        </is>
      </c>
      <c r="L34" s="34" t="inlineStr">
        <is>
          <t>4:00 AM wake; water + coffee/tea</t>
        </is>
      </c>
      <c r="M34" s="34" t="inlineStr">
        <is>
          <t>8:30 AM pre-workout breakfast</t>
        </is>
      </c>
      <c r="N34" s="34" t="inlineStr">
        <is>
          <t>9:45–11:00 AM</t>
        </is>
      </c>
      <c r="O34" s="34" t="inlineStr">
        <is>
          <t>12:00 PM post-workout lunch</t>
        </is>
      </c>
      <c r="P34" s="34" t="inlineStr">
        <is>
          <t>3:30 PM</t>
        </is>
      </c>
      <c r="Q34" s="34" t="inlineStr">
        <is>
          <t>7:00 PM</t>
        </is>
      </c>
      <c r="R34" s="34" t="inlineStr">
        <is>
          <t>Best default: lift after work block, then eat lunch within 1–2 hours.</t>
        </is>
      </c>
    </row>
    <row r="35">
      <c r="A35" s="106" t="n">
        <v>46221</v>
      </c>
      <c r="B35" s="35" t="n">
        <v>5</v>
      </c>
      <c r="C35" s="35" t="inlineStr">
        <is>
          <t>Lower + Core</t>
        </is>
      </c>
      <c r="D35" s="35" t="inlineStr">
        <is>
          <t>Greek Yogurt Protein Bowl</t>
        </is>
      </c>
      <c r="E35" s="35" t="inlineStr">
        <is>
          <t>Chicken Rice Bowl</t>
        </is>
      </c>
      <c r="F35" s="35" t="inlineStr">
        <is>
          <t>Salmon Potato Plate</t>
        </is>
      </c>
      <c r="G35" s="35" t="inlineStr">
        <is>
          <t>Greek Yogurt + Apple</t>
        </is>
      </c>
      <c r="H35" s="35" t="str"/>
      <c r="I35" s="107">
        <f>IFERROR(XLOOKUP(D35,'Recipes Snacks'!$A$3:$A$16,'Recipes Snacks'!$B$3:$B$16),0)+IFERROR(XLOOKUP(E35,'Recipes Snacks'!$A$3:$A$16,'Recipes Snacks'!$B$3:$B$16),0)+IFERROR(XLOOKUP(F35,'Recipes Snacks'!$A$3:$A$16,'Recipes Snacks'!$B$3:$B$16),0)+IFERROR(XLOOKUP(G35,'Recipes Snacks'!$A$3:$A$16,'Recipes Snacks'!$B$3:$B$16),0)+IFERROR(XLOOKUP(H35,'Recipes Snacks'!$A$3:$A$16,'Recipes Snacks'!$B$3:$B$16),0)</f>
        <v/>
      </c>
      <c r="J35" s="107">
        <f>IFERROR(XLOOKUP(D35,'Recipes Snacks'!$A$3:$A$16,'Recipes Snacks'!$C$3:$C$16),0)+IFERROR(XLOOKUP(E35,'Recipes Snacks'!$A$3:$A$16,'Recipes Snacks'!$C$3:$C$16),0)+IFERROR(XLOOKUP(F35,'Recipes Snacks'!$A$3:$A$16,'Recipes Snacks'!$C$3:$C$16),0)+IFERROR(XLOOKUP(G35,'Recipes Snacks'!$A$3:$A$16,'Recipes Snacks'!$C$3:$C$16),0)+IFERROR(XLOOKUP(H35,'Recipes Snacks'!$A$3:$A$16,'Recipes Snacks'!$C$3:$C$16),0)</f>
        <v/>
      </c>
      <c r="K35" s="35" t="inlineStr">
        <is>
          <t>≈2,005 kcal. Fish meal day.</t>
        </is>
      </c>
      <c r="L35" s="34" t="inlineStr">
        <is>
          <t>4:00 AM wake; water + coffee/tea</t>
        </is>
      </c>
      <c r="M35" s="34" t="inlineStr">
        <is>
          <t>8:30 AM pre-workout breakfast</t>
        </is>
      </c>
      <c r="N35" s="34" t="inlineStr">
        <is>
          <t>9:45–11:15 AM</t>
        </is>
      </c>
      <c r="O35" s="34" t="inlineStr">
        <is>
          <t>12:15 PM post-workout lunch</t>
        </is>
      </c>
      <c r="P35" s="34" t="inlineStr">
        <is>
          <t>3:45 PM</t>
        </is>
      </c>
      <c r="Q35" s="34" t="inlineStr">
        <is>
          <t>7:00 PM</t>
        </is>
      </c>
      <c r="R35" s="34" t="inlineStr">
        <is>
          <t>Hard lower-body day: keep breakfast/lunch carbs; do not skip lunch.</t>
        </is>
      </c>
    </row>
    <row r="36">
      <c r="A36" s="106" t="n">
        <v>46222</v>
      </c>
      <c r="B36" s="35" t="n">
        <v>5</v>
      </c>
      <c r="C36" s="35" t="inlineStr">
        <is>
          <t>Active Recovery</t>
        </is>
      </c>
      <c r="D36" s="35" t="inlineStr">
        <is>
          <t>Protein Oatmeal</t>
        </is>
      </c>
      <c r="E36" s="35" t="inlineStr">
        <is>
          <t>Tuna Greek Yogurt Wrap</t>
        </is>
      </c>
      <c r="F36" s="35" t="inlineStr">
        <is>
          <t>Chicken Rice Bowl</t>
        </is>
      </c>
      <c r="G36" s="35" t="inlineStr">
        <is>
          <t>Protein Bar Emergency</t>
        </is>
      </c>
      <c r="H36" s="35" t="inlineStr">
        <is>
          <t>Apple</t>
        </is>
      </c>
      <c r="I36" s="107">
        <f>IFERROR(XLOOKUP(D36,'Recipes Snacks'!$A$3:$A$16,'Recipes Snacks'!$B$3:$B$16),0)+IFERROR(XLOOKUP(E36,'Recipes Snacks'!$A$3:$A$16,'Recipes Snacks'!$B$3:$B$16),0)+IFERROR(XLOOKUP(F36,'Recipes Snacks'!$A$3:$A$16,'Recipes Snacks'!$B$3:$B$16),0)+IFERROR(XLOOKUP(G36,'Recipes Snacks'!$A$3:$A$16,'Recipes Snacks'!$B$3:$B$16),0)+IFERROR(XLOOKUP(H36,'Recipes Snacks'!$A$3:$A$16,'Recipes Snacks'!$B$3:$B$16),0)</f>
        <v/>
      </c>
      <c r="J36" s="107">
        <f>IFERROR(XLOOKUP(D36,'Recipes Snacks'!$A$3:$A$16,'Recipes Snacks'!$C$3:$C$16),0)+IFERROR(XLOOKUP(E36,'Recipes Snacks'!$A$3:$A$16,'Recipes Snacks'!$C$3:$C$16),0)+IFERROR(XLOOKUP(F36,'Recipes Snacks'!$A$3:$A$16,'Recipes Snacks'!$C$3:$C$16),0)+IFERROR(XLOOKUP(G36,'Recipes Snacks'!$A$3:$A$16,'Recipes Snacks'!$C$3:$C$16),0)+IFERROR(XLOOKUP(H36,'Recipes Snacks'!$A$3:$A$16,'Recipes Snacks'!$C$3:$C$16),0)</f>
        <v/>
      </c>
      <c r="K36" s="35" t="inlineStr">
        <is>
          <t>–1,960 kcal active-recovery day. Apple added to clear the 1,900 floor.</t>
        </is>
      </c>
      <c r="L36" s="34" t="inlineStr">
        <is>
          <t>4:00 AM wake; water + coffee/tea</t>
        </is>
      </c>
      <c r="M36" s="34" t="inlineStr">
        <is>
          <t>8:30 AM</t>
        </is>
      </c>
      <c r="N36" s="34" t="inlineStr">
        <is>
          <t>Walk 45–60 min anytime</t>
        </is>
      </c>
      <c r="O36" s="34" t="inlineStr">
        <is>
          <t>12:00 PM</t>
        </is>
      </c>
      <c r="P36" s="34" t="inlineStr">
        <is>
          <t>3:30 PM</t>
        </is>
      </c>
      <c r="Q36" s="34" t="inlineStr">
        <is>
          <t>7:00 PM</t>
        </is>
      </c>
      <c r="R36" s="34" t="inlineStr">
        <is>
          <t>Active recovery: long walk 45–60 min; eat meals as planned.</t>
        </is>
      </c>
    </row>
    <row r="37">
      <c r="A37" s="106" t="n">
        <v>46223</v>
      </c>
      <c r="B37" s="35" t="n">
        <v>5</v>
      </c>
      <c r="C37" s="35" t="inlineStr">
        <is>
          <t>Rest</t>
        </is>
      </c>
      <c r="D37" s="35" t="inlineStr">
        <is>
          <t>Greek Yogurt Protein Bowl</t>
        </is>
      </c>
      <c r="E37" s="35" t="inlineStr">
        <is>
          <t>Chicken Salad Wrap</t>
        </is>
      </c>
      <c r="F37" s="35" t="inlineStr">
        <is>
          <t>Lean Beef Potato Bowl</t>
        </is>
      </c>
      <c r="G37" s="35" t="inlineStr">
        <is>
          <t>Boiled Eggs + Fruit</t>
        </is>
      </c>
      <c r="H37" s="35" t="str"/>
      <c r="I37" s="107">
        <f>IFERROR(XLOOKUP(D37,'Recipes Snacks'!$A$3:$A$16,'Recipes Snacks'!$B$3:$B$16),0)+IFERROR(XLOOKUP(E37,'Recipes Snacks'!$A$3:$A$16,'Recipes Snacks'!$B$3:$B$16),0)+IFERROR(XLOOKUP(F37,'Recipes Snacks'!$A$3:$A$16,'Recipes Snacks'!$B$3:$B$16),0)+IFERROR(XLOOKUP(G37,'Recipes Snacks'!$A$3:$A$16,'Recipes Snacks'!$B$3:$B$16),0)+IFERROR(XLOOKUP(H37,'Recipes Snacks'!$A$3:$A$16,'Recipes Snacks'!$B$3:$B$16),0)</f>
        <v/>
      </c>
      <c r="J37" s="107">
        <f>IFERROR(XLOOKUP(D37,'Recipes Snacks'!$A$3:$A$16,'Recipes Snacks'!$C$3:$C$16),0)+IFERROR(XLOOKUP(E37,'Recipes Snacks'!$A$3:$A$16,'Recipes Snacks'!$C$3:$C$16),0)+IFERROR(XLOOKUP(F37,'Recipes Snacks'!$A$3:$A$16,'Recipes Snacks'!$C$3:$C$16),0)+IFERROR(XLOOKUP(G37,'Recipes Snacks'!$A$3:$A$16,'Recipes Snacks'!$C$3:$C$16),0)+IFERROR(XLOOKUP(H37,'Recipes Snacks'!$A$3:$A$16,'Recipes Snacks'!$C$3:$C$16),0)</f>
        <v/>
      </c>
      <c r="K37" s="35" t="inlineStr">
        <is>
          <t>≈1,940 kcal. Slightly lower-carb rest day.</t>
        </is>
      </c>
      <c r="L37" s="34" t="inlineStr">
        <is>
          <t>4:00 AM wake; water + coffee/tea</t>
        </is>
      </c>
      <c r="M37" s="34" t="inlineStr">
        <is>
          <t>8:30 AM</t>
        </is>
      </c>
      <c r="N37" s="34" t="inlineStr">
        <is>
          <t>No gym; walk 30–60 min anytime</t>
        </is>
      </c>
      <c r="O37" s="34" t="inlineStr">
        <is>
          <t>12:30 PM</t>
        </is>
      </c>
      <c r="P37" s="34" t="inlineStr">
        <is>
          <t>3:30 PM</t>
        </is>
      </c>
      <c r="Q37" s="34" t="inlineStr">
        <is>
          <t>7:00 PM</t>
        </is>
      </c>
      <c r="R37" s="34" t="inlineStr">
        <is>
          <t>Keep carbs slightly lower; hit protein; no need for pre/post-workout timing.</t>
        </is>
      </c>
    </row>
    <row r="38">
      <c r="A38" s="106" t="n">
        <v>46224</v>
      </c>
      <c r="B38" s="35" t="n">
        <v>6</v>
      </c>
      <c r="C38" s="35" t="inlineStr">
        <is>
          <t>Push</t>
        </is>
      </c>
      <c r="D38" s="35" t="inlineStr">
        <is>
          <t>Egg Turkey Toast Plate</t>
        </is>
      </c>
      <c r="E38" s="35" t="inlineStr">
        <is>
          <t>Chicken Rice Bowl</t>
        </is>
      </c>
      <c r="F38" s="35" t="inlineStr">
        <is>
          <t>Ground Turkey Pasta</t>
        </is>
      </c>
      <c r="G38" s="35" t="inlineStr">
        <is>
          <t>Greek Yogurt + Apple</t>
        </is>
      </c>
      <c r="H38" s="35" t="str"/>
      <c r="I38" s="107">
        <f>IFERROR(XLOOKUP(D38,'Recipes Snacks'!$A$3:$A$16,'Recipes Snacks'!$B$3:$B$16),0)+IFERROR(XLOOKUP(E38,'Recipes Snacks'!$A$3:$A$16,'Recipes Snacks'!$B$3:$B$16),0)+IFERROR(XLOOKUP(F38,'Recipes Snacks'!$A$3:$A$16,'Recipes Snacks'!$B$3:$B$16),0)+IFERROR(XLOOKUP(G38,'Recipes Snacks'!$A$3:$A$16,'Recipes Snacks'!$B$3:$B$16),0)+IFERROR(XLOOKUP(H38,'Recipes Snacks'!$A$3:$A$16,'Recipes Snacks'!$B$3:$B$16),0)</f>
        <v/>
      </c>
      <c r="J38" s="107">
        <f>IFERROR(XLOOKUP(D38,'Recipes Snacks'!$A$3:$A$16,'Recipes Snacks'!$C$3:$C$16),0)+IFERROR(XLOOKUP(E38,'Recipes Snacks'!$A$3:$A$16,'Recipes Snacks'!$C$3:$C$16),0)+IFERROR(XLOOKUP(F38,'Recipes Snacks'!$A$3:$A$16,'Recipes Snacks'!$C$3:$C$16),0)+IFERROR(XLOOKUP(G38,'Recipes Snacks'!$A$3:$A$16,'Recipes Snacks'!$C$3:$C$16),0)+IFERROR(XLOOKUP(H38,'Recipes Snacks'!$A$3:$A$16,'Recipes Snacks'!$C$3:$C$16),0)</f>
        <v/>
      </c>
      <c r="K38" s="35" t="inlineStr">
        <is>
          <t>≈1,940 kcal. Add fruit only if training energy is low.</t>
        </is>
      </c>
      <c r="L38" s="34" t="inlineStr">
        <is>
          <t>4:00 AM wake; water + coffee/tea</t>
        </is>
      </c>
      <c r="M38" s="34" t="inlineStr">
        <is>
          <t>8:30 AM pre-workout breakfast</t>
        </is>
      </c>
      <c r="N38" s="34" t="inlineStr">
        <is>
          <t>9:45–11:00 AM</t>
        </is>
      </c>
      <c r="O38" s="34" t="inlineStr">
        <is>
          <t>12:00 PM post-workout lunch</t>
        </is>
      </c>
      <c r="P38" s="34" t="inlineStr">
        <is>
          <t>3:30 PM</t>
        </is>
      </c>
      <c r="Q38" s="34" t="inlineStr">
        <is>
          <t>7:00 PM</t>
        </is>
      </c>
      <c r="R38" s="34" t="inlineStr">
        <is>
          <t>Best default: lift after work block, then eat lunch within 1–2 hours.</t>
        </is>
      </c>
    </row>
    <row r="39">
      <c r="A39" s="106" t="n">
        <v>46225</v>
      </c>
      <c r="B39" s="35" t="n">
        <v>6</v>
      </c>
      <c r="C39" s="35" t="inlineStr">
        <is>
          <t>Pull</t>
        </is>
      </c>
      <c r="D39" s="35" t="inlineStr">
        <is>
          <t>Greek Yogurt Protein Bowl</t>
        </is>
      </c>
      <c r="E39" s="35" t="inlineStr">
        <is>
          <t>Tuna Greek Yogurt Wrap</t>
        </is>
      </c>
      <c r="F39" s="35" t="inlineStr">
        <is>
          <t>Chicken Rice Bowl</t>
        </is>
      </c>
      <c r="G39" s="35" t="inlineStr">
        <is>
          <t>Cottage Cheese Fruit Bowl</t>
        </is>
      </c>
      <c r="H39" s="35" t="str"/>
      <c r="I39" s="107">
        <f>IFERROR(XLOOKUP(D39,'Recipes Snacks'!$A$3:$A$16,'Recipes Snacks'!$B$3:$B$16),0)+IFERROR(XLOOKUP(E39,'Recipes Snacks'!$A$3:$A$16,'Recipes Snacks'!$B$3:$B$16),0)+IFERROR(XLOOKUP(F39,'Recipes Snacks'!$A$3:$A$16,'Recipes Snacks'!$B$3:$B$16),0)+IFERROR(XLOOKUP(G39,'Recipes Snacks'!$A$3:$A$16,'Recipes Snacks'!$B$3:$B$16),0)+IFERROR(XLOOKUP(H39,'Recipes Snacks'!$A$3:$A$16,'Recipes Snacks'!$B$3:$B$16),0)</f>
        <v/>
      </c>
      <c r="J39" s="107">
        <f>IFERROR(XLOOKUP(D39,'Recipes Snacks'!$A$3:$A$16,'Recipes Snacks'!$C$3:$C$16),0)+IFERROR(XLOOKUP(E39,'Recipes Snacks'!$A$3:$A$16,'Recipes Snacks'!$C$3:$C$16),0)+IFERROR(XLOOKUP(F39,'Recipes Snacks'!$A$3:$A$16,'Recipes Snacks'!$C$3:$C$16),0)+IFERROR(XLOOKUP(G39,'Recipes Snacks'!$A$3:$A$16,'Recipes Snacks'!$C$3:$C$16),0)+IFERROR(XLOOKUP(H39,'Recipes Snacks'!$A$3:$A$16,'Recipes Snacks'!$C$3:$C$16),0)</f>
        <v/>
      </c>
      <c r="K39" s="35" t="inlineStr">
        <is>
          <t>≈1,915 kcal. Good protein day.</t>
        </is>
      </c>
      <c r="L39" s="34" t="inlineStr">
        <is>
          <t>4:00 AM wake; water + coffee/tea</t>
        </is>
      </c>
      <c r="M39" s="34" t="inlineStr">
        <is>
          <t>8:30 AM pre-workout breakfast</t>
        </is>
      </c>
      <c r="N39" s="34" t="inlineStr">
        <is>
          <t>9:45–11:00 AM</t>
        </is>
      </c>
      <c r="O39" s="34" t="inlineStr">
        <is>
          <t>12:00 PM post-workout lunch</t>
        </is>
      </c>
      <c r="P39" s="34" t="inlineStr">
        <is>
          <t>3:30 PM</t>
        </is>
      </c>
      <c r="Q39" s="34" t="inlineStr">
        <is>
          <t>7:00 PM</t>
        </is>
      </c>
      <c r="R39" s="34" t="inlineStr">
        <is>
          <t>Best default: lift after work block, then eat lunch within 1–2 hours.</t>
        </is>
      </c>
    </row>
    <row r="40">
      <c r="A40" s="106" t="n">
        <v>46226</v>
      </c>
      <c r="B40" s="35" t="n">
        <v>6</v>
      </c>
      <c r="C40" s="35" t="inlineStr">
        <is>
          <t>Legs</t>
        </is>
      </c>
      <c r="D40" s="35" t="inlineStr">
        <is>
          <t>Protein Oatmeal</t>
        </is>
      </c>
      <c r="E40" s="35" t="inlineStr">
        <is>
          <t>Chicken Rice Bowl</t>
        </is>
      </c>
      <c r="F40" s="35" t="inlineStr">
        <is>
          <t>Lean Beef Potato Bowl</t>
        </is>
      </c>
      <c r="G40" s="35" t="inlineStr">
        <is>
          <t>Whey Shake + Banana</t>
        </is>
      </c>
      <c r="H40" s="35" t="str"/>
      <c r="I40" s="107">
        <f>IFERROR(XLOOKUP(D40,'Recipes Snacks'!$A$3:$A$16,'Recipes Snacks'!$B$3:$B$16),0)+IFERROR(XLOOKUP(E40,'Recipes Snacks'!$A$3:$A$16,'Recipes Snacks'!$B$3:$B$16),0)+IFERROR(XLOOKUP(F40,'Recipes Snacks'!$A$3:$A$16,'Recipes Snacks'!$B$3:$B$16),0)+IFERROR(XLOOKUP(G40,'Recipes Snacks'!$A$3:$A$16,'Recipes Snacks'!$B$3:$B$16),0)+IFERROR(XLOOKUP(H40,'Recipes Snacks'!$A$3:$A$16,'Recipes Snacks'!$B$3:$B$16),0)</f>
        <v/>
      </c>
      <c r="J40" s="107">
        <f>IFERROR(XLOOKUP(D40,'Recipes Snacks'!$A$3:$A$16,'Recipes Snacks'!$C$3:$C$16),0)+IFERROR(XLOOKUP(E40,'Recipes Snacks'!$A$3:$A$16,'Recipes Snacks'!$C$3:$C$16),0)+IFERROR(XLOOKUP(F40,'Recipes Snacks'!$A$3:$A$16,'Recipes Snacks'!$C$3:$C$16),0)+IFERROR(XLOOKUP(G40,'Recipes Snacks'!$A$3:$A$16,'Recipes Snacks'!$C$3:$C$16),0)+IFERROR(XLOOKUP(H40,'Recipes Snacks'!$A$3:$A$16,'Recipes Snacks'!$C$3:$C$16),0)</f>
        <v/>
      </c>
      <c r="K40" s="35" t="inlineStr">
        <is>
          <t>≈1,990 kcal. Highest-carb leg day.</t>
        </is>
      </c>
      <c r="L40" s="34" t="inlineStr">
        <is>
          <t>4:00 AM wake; water + coffee/tea</t>
        </is>
      </c>
      <c r="M40" s="34" t="inlineStr">
        <is>
          <t>8:30 AM pre-workout breakfast</t>
        </is>
      </c>
      <c r="N40" s="34" t="inlineStr">
        <is>
          <t>9:45–11:15 AM</t>
        </is>
      </c>
      <c r="O40" s="34" t="inlineStr">
        <is>
          <t>12:15 PM post-workout lunch</t>
        </is>
      </c>
      <c r="P40" s="34" t="inlineStr">
        <is>
          <t>3:45 PM</t>
        </is>
      </c>
      <c r="Q40" s="34" t="inlineStr">
        <is>
          <t>7:00 PM</t>
        </is>
      </c>
      <c r="R40" s="34" t="inlineStr">
        <is>
          <t>Hard lower-body day: keep breakfast/lunch carbs; do not skip lunch.</t>
        </is>
      </c>
    </row>
    <row r="41">
      <c r="A41" s="106" t="n">
        <v>46227</v>
      </c>
      <c r="B41" s="35" t="n">
        <v>6</v>
      </c>
      <c r="C41" s="35" t="inlineStr">
        <is>
          <t>Upper</t>
        </is>
      </c>
      <c r="D41" s="35" t="inlineStr">
        <is>
          <t>Egg Turkey Toast Plate</t>
        </is>
      </c>
      <c r="E41" s="35" t="inlineStr">
        <is>
          <t>Ground Turkey Pasta</t>
        </is>
      </c>
      <c r="F41" s="35" t="inlineStr">
        <is>
          <t>Chicken Salad Wrap</t>
        </is>
      </c>
      <c r="G41" s="35" t="inlineStr">
        <is>
          <t>Cottage Cheese Fruit Bowl</t>
        </is>
      </c>
      <c r="H41" s="35" t="str"/>
      <c r="I41" s="107">
        <f>IFERROR(XLOOKUP(D41,'Recipes Snacks'!$A$3:$A$16,'Recipes Snacks'!$B$3:$B$16),0)+IFERROR(XLOOKUP(E41,'Recipes Snacks'!$A$3:$A$16,'Recipes Snacks'!$B$3:$B$16),0)+IFERROR(XLOOKUP(F41,'Recipes Snacks'!$A$3:$A$16,'Recipes Snacks'!$B$3:$B$16),0)+IFERROR(XLOOKUP(G41,'Recipes Snacks'!$A$3:$A$16,'Recipes Snacks'!$B$3:$B$16),0)+IFERROR(XLOOKUP(H41,'Recipes Snacks'!$A$3:$A$16,'Recipes Snacks'!$B$3:$B$16),0)</f>
        <v/>
      </c>
      <c r="J41" s="107">
        <f>IFERROR(XLOOKUP(D41,'Recipes Snacks'!$A$3:$A$16,'Recipes Snacks'!$C$3:$C$16),0)+IFERROR(XLOOKUP(E41,'Recipes Snacks'!$A$3:$A$16,'Recipes Snacks'!$C$3:$C$16),0)+IFERROR(XLOOKUP(F41,'Recipes Snacks'!$A$3:$A$16,'Recipes Snacks'!$C$3:$C$16),0)+IFERROR(XLOOKUP(G41,'Recipes Snacks'!$A$3:$A$16,'Recipes Snacks'!$C$3:$C$16),0)+IFERROR(XLOOKUP(H41,'Recipes Snacks'!$A$3:$A$16,'Recipes Snacks'!$C$3:$C$16),0)</f>
        <v/>
      </c>
      <c r="K41" s="35" t="inlineStr">
        <is>
          <t>≈1,915 kcal. Good protein distribution.</t>
        </is>
      </c>
      <c r="L41" s="34" t="inlineStr">
        <is>
          <t>4:00 AM wake; water + coffee/tea</t>
        </is>
      </c>
      <c r="M41" s="34" t="inlineStr">
        <is>
          <t>8:30 AM pre-workout breakfast</t>
        </is>
      </c>
      <c r="N41" s="34" t="inlineStr">
        <is>
          <t>9:45–11:00 AM</t>
        </is>
      </c>
      <c r="O41" s="34" t="inlineStr">
        <is>
          <t>12:00 PM post-workout lunch</t>
        </is>
      </c>
      <c r="P41" s="34" t="inlineStr">
        <is>
          <t>3:30 PM</t>
        </is>
      </c>
      <c r="Q41" s="34" t="inlineStr">
        <is>
          <t>7:00 PM</t>
        </is>
      </c>
      <c r="R41" s="34" t="inlineStr">
        <is>
          <t>Best default: lift after work block, then eat lunch within 1–2 hours.</t>
        </is>
      </c>
    </row>
    <row r="42">
      <c r="A42" s="106" t="n">
        <v>46228</v>
      </c>
      <c r="B42" s="35" t="n">
        <v>6</v>
      </c>
      <c r="C42" s="35" t="inlineStr">
        <is>
          <t>Lower + Core</t>
        </is>
      </c>
      <c r="D42" s="35" t="inlineStr">
        <is>
          <t>Greek Yogurt Protein Bowl</t>
        </is>
      </c>
      <c r="E42" s="35" t="inlineStr">
        <is>
          <t>Chicken Rice Bowl</t>
        </is>
      </c>
      <c r="F42" s="35" t="inlineStr">
        <is>
          <t>Salmon Potato Plate</t>
        </is>
      </c>
      <c r="G42" s="35" t="inlineStr">
        <is>
          <t>Greek Yogurt + Apple</t>
        </is>
      </c>
      <c r="H42" s="35" t="str"/>
      <c r="I42" s="107">
        <f>IFERROR(XLOOKUP(D42,'Recipes Snacks'!$A$3:$A$16,'Recipes Snacks'!$B$3:$B$16),0)+IFERROR(XLOOKUP(E42,'Recipes Snacks'!$A$3:$A$16,'Recipes Snacks'!$B$3:$B$16),0)+IFERROR(XLOOKUP(F42,'Recipes Snacks'!$A$3:$A$16,'Recipes Snacks'!$B$3:$B$16),0)+IFERROR(XLOOKUP(G42,'Recipes Snacks'!$A$3:$A$16,'Recipes Snacks'!$B$3:$B$16),0)+IFERROR(XLOOKUP(H42,'Recipes Snacks'!$A$3:$A$16,'Recipes Snacks'!$B$3:$B$16),0)</f>
        <v/>
      </c>
      <c r="J42" s="107">
        <f>IFERROR(XLOOKUP(D42,'Recipes Snacks'!$A$3:$A$16,'Recipes Snacks'!$C$3:$C$16),0)+IFERROR(XLOOKUP(E42,'Recipes Snacks'!$A$3:$A$16,'Recipes Snacks'!$C$3:$C$16),0)+IFERROR(XLOOKUP(F42,'Recipes Snacks'!$A$3:$A$16,'Recipes Snacks'!$C$3:$C$16),0)+IFERROR(XLOOKUP(G42,'Recipes Snacks'!$A$3:$A$16,'Recipes Snacks'!$C$3:$C$16),0)+IFERROR(XLOOKUP(H42,'Recipes Snacks'!$A$3:$A$16,'Recipes Snacks'!$C$3:$C$16),0)</f>
        <v/>
      </c>
      <c r="K42" s="35" t="inlineStr">
        <is>
          <t>≈2,005 kcal. Fish meal day.</t>
        </is>
      </c>
      <c r="L42" s="34" t="inlineStr">
        <is>
          <t>4:00 AM wake; water + coffee/tea</t>
        </is>
      </c>
      <c r="M42" s="34" t="inlineStr">
        <is>
          <t>8:30 AM pre-workout breakfast</t>
        </is>
      </c>
      <c r="N42" s="34" t="inlineStr">
        <is>
          <t>9:45–11:15 AM</t>
        </is>
      </c>
      <c r="O42" s="34" t="inlineStr">
        <is>
          <t>12:15 PM post-workout lunch</t>
        </is>
      </c>
      <c r="P42" s="34" t="inlineStr">
        <is>
          <t>3:45 PM</t>
        </is>
      </c>
      <c r="Q42" s="34" t="inlineStr">
        <is>
          <t>7:00 PM</t>
        </is>
      </c>
      <c r="R42" s="34" t="inlineStr">
        <is>
          <t>Hard lower-body day: keep breakfast/lunch carbs; do not skip lunch.</t>
        </is>
      </c>
    </row>
    <row r="43">
      <c r="A43" s="106" t="n">
        <v>46229</v>
      </c>
      <c r="B43" s="35" t="n">
        <v>6</v>
      </c>
      <c r="C43" s="35" t="inlineStr">
        <is>
          <t>Active Recovery</t>
        </is>
      </c>
      <c r="D43" s="35" t="inlineStr">
        <is>
          <t>Protein Oatmeal</t>
        </is>
      </c>
      <c r="E43" s="35" t="inlineStr">
        <is>
          <t>Tuna Greek Yogurt Wrap</t>
        </is>
      </c>
      <c r="F43" s="35" t="inlineStr">
        <is>
          <t>Chicken Rice Bowl</t>
        </is>
      </c>
      <c r="G43" s="35" t="inlineStr">
        <is>
          <t>Protein Bar Emergency</t>
        </is>
      </c>
      <c r="H43" s="35" t="inlineStr">
        <is>
          <t>Apple</t>
        </is>
      </c>
      <c r="I43" s="107">
        <f>IFERROR(XLOOKUP(D43,'Recipes Snacks'!$A$3:$A$16,'Recipes Snacks'!$B$3:$B$16),0)+IFERROR(XLOOKUP(E43,'Recipes Snacks'!$A$3:$A$16,'Recipes Snacks'!$B$3:$B$16),0)+IFERROR(XLOOKUP(F43,'Recipes Snacks'!$A$3:$A$16,'Recipes Snacks'!$B$3:$B$16),0)+IFERROR(XLOOKUP(G43,'Recipes Snacks'!$A$3:$A$16,'Recipes Snacks'!$B$3:$B$16),0)+IFERROR(XLOOKUP(H43,'Recipes Snacks'!$A$3:$A$16,'Recipes Snacks'!$B$3:$B$16),0)</f>
        <v/>
      </c>
      <c r="J43" s="107">
        <f>IFERROR(XLOOKUP(D43,'Recipes Snacks'!$A$3:$A$16,'Recipes Snacks'!$C$3:$C$16),0)+IFERROR(XLOOKUP(E43,'Recipes Snacks'!$A$3:$A$16,'Recipes Snacks'!$C$3:$C$16),0)+IFERROR(XLOOKUP(F43,'Recipes Snacks'!$A$3:$A$16,'Recipes Snacks'!$C$3:$C$16),0)+IFERROR(XLOOKUP(G43,'Recipes Snacks'!$A$3:$A$16,'Recipes Snacks'!$C$3:$C$16),0)+IFERROR(XLOOKUP(H43,'Recipes Snacks'!$A$3:$A$16,'Recipes Snacks'!$C$3:$C$16),0)</f>
        <v/>
      </c>
      <c r="K43" s="35" t="inlineStr">
        <is>
          <t>–1,960 kcal active-recovery day. Apple added to clear the 1,900 floor.</t>
        </is>
      </c>
      <c r="L43" s="34" t="inlineStr">
        <is>
          <t>4:00 AM wake; water + coffee/tea</t>
        </is>
      </c>
      <c r="M43" s="34" t="inlineStr">
        <is>
          <t>8:30 AM</t>
        </is>
      </c>
      <c r="N43" s="34" t="inlineStr">
        <is>
          <t>Walk 45–60 min anytime</t>
        </is>
      </c>
      <c r="O43" s="34" t="inlineStr">
        <is>
          <t>12:00 PM</t>
        </is>
      </c>
      <c r="P43" s="34" t="inlineStr">
        <is>
          <t>3:30 PM</t>
        </is>
      </c>
      <c r="Q43" s="34" t="inlineStr">
        <is>
          <t>7:00 PM</t>
        </is>
      </c>
      <c r="R43" s="34" t="inlineStr">
        <is>
          <t>Active recovery: long walk 45–60 min; eat meals as planned.</t>
        </is>
      </c>
    </row>
    <row r="44">
      <c r="A44" s="106" t="n">
        <v>46230</v>
      </c>
      <c r="B44" s="35" t="n">
        <v>6</v>
      </c>
      <c r="C44" s="35" t="inlineStr">
        <is>
          <t>Rest</t>
        </is>
      </c>
      <c r="D44" s="35" t="inlineStr">
        <is>
          <t>Greek Yogurt Protein Bowl</t>
        </is>
      </c>
      <c r="E44" s="35" t="inlineStr">
        <is>
          <t>Chicken Salad Wrap</t>
        </is>
      </c>
      <c r="F44" s="35" t="inlineStr">
        <is>
          <t>Lean Beef Potato Bowl</t>
        </is>
      </c>
      <c r="G44" s="35" t="inlineStr">
        <is>
          <t>Boiled Eggs + Fruit</t>
        </is>
      </c>
      <c r="H44" s="35" t="str"/>
      <c r="I44" s="107">
        <f>IFERROR(XLOOKUP(D44,'Recipes Snacks'!$A$3:$A$16,'Recipes Snacks'!$B$3:$B$16),0)+IFERROR(XLOOKUP(E44,'Recipes Snacks'!$A$3:$A$16,'Recipes Snacks'!$B$3:$B$16),0)+IFERROR(XLOOKUP(F44,'Recipes Snacks'!$A$3:$A$16,'Recipes Snacks'!$B$3:$B$16),0)+IFERROR(XLOOKUP(G44,'Recipes Snacks'!$A$3:$A$16,'Recipes Snacks'!$B$3:$B$16),0)+IFERROR(XLOOKUP(H44,'Recipes Snacks'!$A$3:$A$16,'Recipes Snacks'!$B$3:$B$16),0)</f>
        <v/>
      </c>
      <c r="J44" s="107">
        <f>IFERROR(XLOOKUP(D44,'Recipes Snacks'!$A$3:$A$16,'Recipes Snacks'!$C$3:$C$16),0)+IFERROR(XLOOKUP(E44,'Recipes Snacks'!$A$3:$A$16,'Recipes Snacks'!$C$3:$C$16),0)+IFERROR(XLOOKUP(F44,'Recipes Snacks'!$A$3:$A$16,'Recipes Snacks'!$C$3:$C$16),0)+IFERROR(XLOOKUP(G44,'Recipes Snacks'!$A$3:$A$16,'Recipes Snacks'!$C$3:$C$16),0)+IFERROR(XLOOKUP(H44,'Recipes Snacks'!$A$3:$A$16,'Recipes Snacks'!$C$3:$C$16),0)</f>
        <v/>
      </c>
      <c r="K44" s="35" t="inlineStr">
        <is>
          <t>≈1,940 kcal. Slightly lower-carb rest day.</t>
        </is>
      </c>
      <c r="L44" s="34" t="inlineStr">
        <is>
          <t>4:00 AM wake; water + coffee/tea</t>
        </is>
      </c>
      <c r="M44" s="34" t="inlineStr">
        <is>
          <t>8:30 AM</t>
        </is>
      </c>
      <c r="N44" s="34" t="inlineStr">
        <is>
          <t>No gym; walk 30–60 min anytime</t>
        </is>
      </c>
      <c r="O44" s="34" t="inlineStr">
        <is>
          <t>12:30 PM</t>
        </is>
      </c>
      <c r="P44" s="34" t="inlineStr">
        <is>
          <t>3:30 PM</t>
        </is>
      </c>
      <c r="Q44" s="34" t="inlineStr">
        <is>
          <t>7:00 PM</t>
        </is>
      </c>
      <c r="R44" s="34" t="inlineStr">
        <is>
          <t>Keep carbs slightly lower; hit protein; no need for pre/post-workout timing.</t>
        </is>
      </c>
    </row>
    <row r="45">
      <c r="A45" s="106" t="n">
        <v>46231</v>
      </c>
      <c r="B45" s="35" t="n">
        <v>7</v>
      </c>
      <c r="C45" s="35" t="inlineStr">
        <is>
          <t>Push</t>
        </is>
      </c>
      <c r="D45" s="35" t="inlineStr">
        <is>
          <t>Egg Turkey Toast Plate</t>
        </is>
      </c>
      <c r="E45" s="35" t="inlineStr">
        <is>
          <t>Chicken Rice Bowl</t>
        </is>
      </c>
      <c r="F45" s="35" t="inlineStr">
        <is>
          <t>Ground Turkey Pasta</t>
        </is>
      </c>
      <c r="G45" s="35" t="inlineStr">
        <is>
          <t>Greek Yogurt + Apple</t>
        </is>
      </c>
      <c r="H45" s="35" t="str"/>
      <c r="I45" s="107">
        <f>IFERROR(XLOOKUP(D45,'Recipes Snacks'!$A$3:$A$16,'Recipes Snacks'!$B$3:$B$16),0)+IFERROR(XLOOKUP(E45,'Recipes Snacks'!$A$3:$A$16,'Recipes Snacks'!$B$3:$B$16),0)+IFERROR(XLOOKUP(F45,'Recipes Snacks'!$A$3:$A$16,'Recipes Snacks'!$B$3:$B$16),0)+IFERROR(XLOOKUP(G45,'Recipes Snacks'!$A$3:$A$16,'Recipes Snacks'!$B$3:$B$16),0)+IFERROR(XLOOKUP(H45,'Recipes Snacks'!$A$3:$A$16,'Recipes Snacks'!$B$3:$B$16),0)</f>
        <v/>
      </c>
      <c r="J45" s="107">
        <f>IFERROR(XLOOKUP(D45,'Recipes Snacks'!$A$3:$A$16,'Recipes Snacks'!$C$3:$C$16),0)+IFERROR(XLOOKUP(E45,'Recipes Snacks'!$A$3:$A$16,'Recipes Snacks'!$C$3:$C$16),0)+IFERROR(XLOOKUP(F45,'Recipes Snacks'!$A$3:$A$16,'Recipes Snacks'!$C$3:$C$16),0)+IFERROR(XLOOKUP(G45,'Recipes Snacks'!$A$3:$A$16,'Recipes Snacks'!$C$3:$C$16),0)+IFERROR(XLOOKUP(H45,'Recipes Snacks'!$A$3:$A$16,'Recipes Snacks'!$C$3:$C$16),0)</f>
        <v/>
      </c>
      <c r="K45" s="35" t="inlineStr">
        <is>
          <t>≈1,940 kcal. Add fruit only if training energy is low.</t>
        </is>
      </c>
      <c r="L45" s="34" t="inlineStr">
        <is>
          <t>4:00 AM wake; water + coffee/tea</t>
        </is>
      </c>
      <c r="M45" s="34" t="inlineStr">
        <is>
          <t>8:30 AM pre-workout breakfast</t>
        </is>
      </c>
      <c r="N45" s="34" t="inlineStr">
        <is>
          <t>9:45–11:00 AM</t>
        </is>
      </c>
      <c r="O45" s="34" t="inlineStr">
        <is>
          <t>12:00 PM post-workout lunch</t>
        </is>
      </c>
      <c r="P45" s="34" t="inlineStr">
        <is>
          <t>3:30 PM</t>
        </is>
      </c>
      <c r="Q45" s="34" t="inlineStr">
        <is>
          <t>7:00 PM</t>
        </is>
      </c>
      <c r="R45" s="34" t="inlineStr">
        <is>
          <t>Best default: lift after work block, then eat lunch within 1–2 hours.</t>
        </is>
      </c>
    </row>
    <row r="46">
      <c r="A46" s="106" t="n">
        <v>46232</v>
      </c>
      <c r="B46" s="35" t="n">
        <v>7</v>
      </c>
      <c r="C46" s="35" t="inlineStr">
        <is>
          <t>Pull</t>
        </is>
      </c>
      <c r="D46" s="35" t="inlineStr">
        <is>
          <t>Greek Yogurt Protein Bowl</t>
        </is>
      </c>
      <c r="E46" s="35" t="inlineStr">
        <is>
          <t>Tuna Greek Yogurt Wrap</t>
        </is>
      </c>
      <c r="F46" s="35" t="inlineStr">
        <is>
          <t>Chicken Rice Bowl</t>
        </is>
      </c>
      <c r="G46" s="35" t="inlineStr">
        <is>
          <t>Cottage Cheese Fruit Bowl</t>
        </is>
      </c>
      <c r="H46" s="35" t="str"/>
      <c r="I46" s="107">
        <f>IFERROR(XLOOKUP(D46,'Recipes Snacks'!$A$3:$A$16,'Recipes Snacks'!$B$3:$B$16),0)+IFERROR(XLOOKUP(E46,'Recipes Snacks'!$A$3:$A$16,'Recipes Snacks'!$B$3:$B$16),0)+IFERROR(XLOOKUP(F46,'Recipes Snacks'!$A$3:$A$16,'Recipes Snacks'!$B$3:$B$16),0)+IFERROR(XLOOKUP(G46,'Recipes Snacks'!$A$3:$A$16,'Recipes Snacks'!$B$3:$B$16),0)+IFERROR(XLOOKUP(H46,'Recipes Snacks'!$A$3:$A$16,'Recipes Snacks'!$B$3:$B$16),0)</f>
        <v/>
      </c>
      <c r="J46" s="107">
        <f>IFERROR(XLOOKUP(D46,'Recipes Snacks'!$A$3:$A$16,'Recipes Snacks'!$C$3:$C$16),0)+IFERROR(XLOOKUP(E46,'Recipes Snacks'!$A$3:$A$16,'Recipes Snacks'!$C$3:$C$16),0)+IFERROR(XLOOKUP(F46,'Recipes Snacks'!$A$3:$A$16,'Recipes Snacks'!$C$3:$C$16),0)+IFERROR(XLOOKUP(G46,'Recipes Snacks'!$A$3:$A$16,'Recipes Snacks'!$C$3:$C$16),0)+IFERROR(XLOOKUP(H46,'Recipes Snacks'!$A$3:$A$16,'Recipes Snacks'!$C$3:$C$16),0)</f>
        <v/>
      </c>
      <c r="K46" s="35" t="inlineStr">
        <is>
          <t>≈1,915 kcal. Good protein day.</t>
        </is>
      </c>
      <c r="L46" s="34" t="inlineStr">
        <is>
          <t>4:00 AM wake; water + coffee/tea</t>
        </is>
      </c>
      <c r="M46" s="34" t="inlineStr">
        <is>
          <t>8:30 AM pre-workout breakfast</t>
        </is>
      </c>
      <c r="N46" s="34" t="inlineStr">
        <is>
          <t>9:45–11:00 AM</t>
        </is>
      </c>
      <c r="O46" s="34" t="inlineStr">
        <is>
          <t>12:00 PM post-workout lunch</t>
        </is>
      </c>
      <c r="P46" s="34" t="inlineStr">
        <is>
          <t>3:30 PM</t>
        </is>
      </c>
      <c r="Q46" s="34" t="inlineStr">
        <is>
          <t>7:00 PM</t>
        </is>
      </c>
      <c r="R46" s="34" t="inlineStr">
        <is>
          <t>Best default: lift after work block, then eat lunch within 1–2 hours.</t>
        </is>
      </c>
    </row>
    <row r="47">
      <c r="A47" s="106" t="n">
        <v>46233</v>
      </c>
      <c r="B47" s="35" t="n">
        <v>7</v>
      </c>
      <c r="C47" s="35" t="inlineStr">
        <is>
          <t>Legs</t>
        </is>
      </c>
      <c r="D47" s="35" t="inlineStr">
        <is>
          <t>Protein Oatmeal</t>
        </is>
      </c>
      <c r="E47" s="35" t="inlineStr">
        <is>
          <t>Chicken Rice Bowl</t>
        </is>
      </c>
      <c r="F47" s="35" t="inlineStr">
        <is>
          <t>Lean Beef Potato Bowl</t>
        </is>
      </c>
      <c r="G47" s="35" t="inlineStr">
        <is>
          <t>Whey Shake + Banana</t>
        </is>
      </c>
      <c r="H47" s="35" t="str"/>
      <c r="I47" s="107">
        <f>IFERROR(XLOOKUP(D47,'Recipes Snacks'!$A$3:$A$16,'Recipes Snacks'!$B$3:$B$16),0)+IFERROR(XLOOKUP(E47,'Recipes Snacks'!$A$3:$A$16,'Recipes Snacks'!$B$3:$B$16),0)+IFERROR(XLOOKUP(F47,'Recipes Snacks'!$A$3:$A$16,'Recipes Snacks'!$B$3:$B$16),0)+IFERROR(XLOOKUP(G47,'Recipes Snacks'!$A$3:$A$16,'Recipes Snacks'!$B$3:$B$16),0)+IFERROR(XLOOKUP(H47,'Recipes Snacks'!$A$3:$A$16,'Recipes Snacks'!$B$3:$B$16),0)</f>
        <v/>
      </c>
      <c r="J47" s="107">
        <f>IFERROR(XLOOKUP(D47,'Recipes Snacks'!$A$3:$A$16,'Recipes Snacks'!$C$3:$C$16),0)+IFERROR(XLOOKUP(E47,'Recipes Snacks'!$A$3:$A$16,'Recipes Snacks'!$C$3:$C$16),0)+IFERROR(XLOOKUP(F47,'Recipes Snacks'!$A$3:$A$16,'Recipes Snacks'!$C$3:$C$16),0)+IFERROR(XLOOKUP(G47,'Recipes Snacks'!$A$3:$A$16,'Recipes Snacks'!$C$3:$C$16),0)+IFERROR(XLOOKUP(H47,'Recipes Snacks'!$A$3:$A$16,'Recipes Snacks'!$C$3:$C$16),0)</f>
        <v/>
      </c>
      <c r="K47" s="35" t="inlineStr">
        <is>
          <t>≈1,990 kcal. Highest-carb leg day.</t>
        </is>
      </c>
      <c r="L47" s="34" t="inlineStr">
        <is>
          <t>4:00 AM wake; water + coffee/tea</t>
        </is>
      </c>
      <c r="M47" s="34" t="inlineStr">
        <is>
          <t>8:30 AM pre-workout breakfast</t>
        </is>
      </c>
      <c r="N47" s="34" t="inlineStr">
        <is>
          <t>9:45–11:15 AM</t>
        </is>
      </c>
      <c r="O47" s="34" t="inlineStr">
        <is>
          <t>12:15 PM post-workout lunch</t>
        </is>
      </c>
      <c r="P47" s="34" t="inlineStr">
        <is>
          <t>3:45 PM</t>
        </is>
      </c>
      <c r="Q47" s="34" t="inlineStr">
        <is>
          <t>7:00 PM</t>
        </is>
      </c>
      <c r="R47" s="34" t="inlineStr">
        <is>
          <t>Hard lower-body day: keep breakfast/lunch carbs; do not skip lunch.</t>
        </is>
      </c>
    </row>
    <row r="48">
      <c r="A48" s="106" t="n">
        <v>46234</v>
      </c>
      <c r="B48" s="35" t="n">
        <v>7</v>
      </c>
      <c r="C48" s="35" t="inlineStr">
        <is>
          <t>Upper</t>
        </is>
      </c>
      <c r="D48" s="35" t="inlineStr">
        <is>
          <t>Egg Turkey Toast Plate</t>
        </is>
      </c>
      <c r="E48" s="35" t="inlineStr">
        <is>
          <t>Ground Turkey Pasta</t>
        </is>
      </c>
      <c r="F48" s="35" t="inlineStr">
        <is>
          <t>Chicken Salad Wrap</t>
        </is>
      </c>
      <c r="G48" s="35" t="inlineStr">
        <is>
          <t>Cottage Cheese Fruit Bowl</t>
        </is>
      </c>
      <c r="H48" s="35" t="str"/>
      <c r="I48" s="107">
        <f>IFERROR(XLOOKUP(D48,'Recipes Snacks'!$A$3:$A$16,'Recipes Snacks'!$B$3:$B$16),0)+IFERROR(XLOOKUP(E48,'Recipes Snacks'!$A$3:$A$16,'Recipes Snacks'!$B$3:$B$16),0)+IFERROR(XLOOKUP(F48,'Recipes Snacks'!$A$3:$A$16,'Recipes Snacks'!$B$3:$B$16),0)+IFERROR(XLOOKUP(G48,'Recipes Snacks'!$A$3:$A$16,'Recipes Snacks'!$B$3:$B$16),0)+IFERROR(XLOOKUP(H48,'Recipes Snacks'!$A$3:$A$16,'Recipes Snacks'!$B$3:$B$16),0)</f>
        <v/>
      </c>
      <c r="J48" s="107">
        <f>IFERROR(XLOOKUP(D48,'Recipes Snacks'!$A$3:$A$16,'Recipes Snacks'!$C$3:$C$16),0)+IFERROR(XLOOKUP(E48,'Recipes Snacks'!$A$3:$A$16,'Recipes Snacks'!$C$3:$C$16),0)+IFERROR(XLOOKUP(F48,'Recipes Snacks'!$A$3:$A$16,'Recipes Snacks'!$C$3:$C$16),0)+IFERROR(XLOOKUP(G48,'Recipes Snacks'!$A$3:$A$16,'Recipes Snacks'!$C$3:$C$16),0)+IFERROR(XLOOKUP(H48,'Recipes Snacks'!$A$3:$A$16,'Recipes Snacks'!$C$3:$C$16),0)</f>
        <v/>
      </c>
      <c r="K48" s="35" t="inlineStr">
        <is>
          <t>≈1,915 kcal. Good protein distribution.</t>
        </is>
      </c>
      <c r="L48" s="34" t="inlineStr">
        <is>
          <t>4:00 AM wake; water + coffee/tea</t>
        </is>
      </c>
      <c r="M48" s="34" t="inlineStr">
        <is>
          <t>8:30 AM pre-workout breakfast</t>
        </is>
      </c>
      <c r="N48" s="34" t="inlineStr">
        <is>
          <t>9:45–11:00 AM</t>
        </is>
      </c>
      <c r="O48" s="34" t="inlineStr">
        <is>
          <t>12:00 PM post-workout lunch</t>
        </is>
      </c>
      <c r="P48" s="34" t="inlineStr">
        <is>
          <t>3:30 PM</t>
        </is>
      </c>
      <c r="Q48" s="34" t="inlineStr">
        <is>
          <t>7:00 PM</t>
        </is>
      </c>
      <c r="R48" s="34" t="inlineStr">
        <is>
          <t>Best default: lift after work block, then eat lunch within 1–2 hours.</t>
        </is>
      </c>
    </row>
    <row r="49">
      <c r="A49" s="106" t="n">
        <v>46235</v>
      </c>
      <c r="B49" s="35" t="n">
        <v>7</v>
      </c>
      <c r="C49" s="35" t="inlineStr">
        <is>
          <t>Lower + Core</t>
        </is>
      </c>
      <c r="D49" s="35" t="inlineStr">
        <is>
          <t>Greek Yogurt Protein Bowl</t>
        </is>
      </c>
      <c r="E49" s="35" t="inlineStr">
        <is>
          <t>Chicken Rice Bowl</t>
        </is>
      </c>
      <c r="F49" s="35" t="inlineStr">
        <is>
          <t>Salmon Potato Plate</t>
        </is>
      </c>
      <c r="G49" s="35" t="inlineStr">
        <is>
          <t>Greek Yogurt + Apple</t>
        </is>
      </c>
      <c r="H49" s="35" t="str"/>
      <c r="I49" s="107">
        <f>IFERROR(XLOOKUP(D49,'Recipes Snacks'!$A$3:$A$16,'Recipes Snacks'!$B$3:$B$16),0)+IFERROR(XLOOKUP(E49,'Recipes Snacks'!$A$3:$A$16,'Recipes Snacks'!$B$3:$B$16),0)+IFERROR(XLOOKUP(F49,'Recipes Snacks'!$A$3:$A$16,'Recipes Snacks'!$B$3:$B$16),0)+IFERROR(XLOOKUP(G49,'Recipes Snacks'!$A$3:$A$16,'Recipes Snacks'!$B$3:$B$16),0)+IFERROR(XLOOKUP(H49,'Recipes Snacks'!$A$3:$A$16,'Recipes Snacks'!$B$3:$B$16),0)</f>
        <v/>
      </c>
      <c r="J49" s="107">
        <f>IFERROR(XLOOKUP(D49,'Recipes Snacks'!$A$3:$A$16,'Recipes Snacks'!$C$3:$C$16),0)+IFERROR(XLOOKUP(E49,'Recipes Snacks'!$A$3:$A$16,'Recipes Snacks'!$C$3:$C$16),0)+IFERROR(XLOOKUP(F49,'Recipes Snacks'!$A$3:$A$16,'Recipes Snacks'!$C$3:$C$16),0)+IFERROR(XLOOKUP(G49,'Recipes Snacks'!$A$3:$A$16,'Recipes Snacks'!$C$3:$C$16),0)+IFERROR(XLOOKUP(H49,'Recipes Snacks'!$A$3:$A$16,'Recipes Snacks'!$C$3:$C$16),0)</f>
        <v/>
      </c>
      <c r="K49" s="35" t="inlineStr">
        <is>
          <t>≈2,005 kcal. Fish meal day.</t>
        </is>
      </c>
      <c r="L49" s="34" t="inlineStr">
        <is>
          <t>4:00 AM wake; water + coffee/tea</t>
        </is>
      </c>
      <c r="M49" s="34" t="inlineStr">
        <is>
          <t>8:30 AM pre-workout breakfast</t>
        </is>
      </c>
      <c r="N49" s="34" t="inlineStr">
        <is>
          <t>9:45–11:15 AM</t>
        </is>
      </c>
      <c r="O49" s="34" t="inlineStr">
        <is>
          <t>12:15 PM post-workout lunch</t>
        </is>
      </c>
      <c r="P49" s="34" t="inlineStr">
        <is>
          <t>3:45 PM</t>
        </is>
      </c>
      <c r="Q49" s="34" t="inlineStr">
        <is>
          <t>7:00 PM</t>
        </is>
      </c>
      <c r="R49" s="34" t="inlineStr">
        <is>
          <t>Hard lower-body day: keep breakfast/lunch carbs; do not skip lunch.</t>
        </is>
      </c>
    </row>
    <row r="50">
      <c r="A50" s="106" t="n">
        <v>46236</v>
      </c>
      <c r="B50" s="35" t="n">
        <v>7</v>
      </c>
      <c r="C50" s="35" t="inlineStr">
        <is>
          <t>Active Recovery</t>
        </is>
      </c>
      <c r="D50" s="35" t="inlineStr">
        <is>
          <t>Protein Oatmeal</t>
        </is>
      </c>
      <c r="E50" s="35" t="inlineStr">
        <is>
          <t>Tuna Greek Yogurt Wrap</t>
        </is>
      </c>
      <c r="F50" s="35" t="inlineStr">
        <is>
          <t>Chicken Rice Bowl</t>
        </is>
      </c>
      <c r="G50" s="35" t="inlineStr">
        <is>
          <t>Protein Bar Emergency</t>
        </is>
      </c>
      <c r="H50" s="35" t="inlineStr">
        <is>
          <t>Apple</t>
        </is>
      </c>
      <c r="I50" s="107">
        <f>IFERROR(XLOOKUP(D50,'Recipes Snacks'!$A$3:$A$16,'Recipes Snacks'!$B$3:$B$16),0)+IFERROR(XLOOKUP(E50,'Recipes Snacks'!$A$3:$A$16,'Recipes Snacks'!$B$3:$B$16),0)+IFERROR(XLOOKUP(F50,'Recipes Snacks'!$A$3:$A$16,'Recipes Snacks'!$B$3:$B$16),0)+IFERROR(XLOOKUP(G50,'Recipes Snacks'!$A$3:$A$16,'Recipes Snacks'!$B$3:$B$16),0)+IFERROR(XLOOKUP(H50,'Recipes Snacks'!$A$3:$A$16,'Recipes Snacks'!$B$3:$B$16),0)</f>
        <v/>
      </c>
      <c r="J50" s="107">
        <f>IFERROR(XLOOKUP(D50,'Recipes Snacks'!$A$3:$A$16,'Recipes Snacks'!$C$3:$C$16),0)+IFERROR(XLOOKUP(E50,'Recipes Snacks'!$A$3:$A$16,'Recipes Snacks'!$C$3:$C$16),0)+IFERROR(XLOOKUP(F50,'Recipes Snacks'!$A$3:$A$16,'Recipes Snacks'!$C$3:$C$16),0)+IFERROR(XLOOKUP(G50,'Recipes Snacks'!$A$3:$A$16,'Recipes Snacks'!$C$3:$C$16),0)+IFERROR(XLOOKUP(H50,'Recipes Snacks'!$A$3:$A$16,'Recipes Snacks'!$C$3:$C$16),0)</f>
        <v/>
      </c>
      <c r="K50" s="35" t="inlineStr">
        <is>
          <t>–1,960 kcal active-recovery day. Apple added to clear the 1,900 floor.</t>
        </is>
      </c>
      <c r="L50" s="34" t="inlineStr">
        <is>
          <t>4:00 AM wake; water + coffee/tea</t>
        </is>
      </c>
      <c r="M50" s="34" t="inlineStr">
        <is>
          <t>8:30 AM</t>
        </is>
      </c>
      <c r="N50" s="34" t="inlineStr">
        <is>
          <t>Walk 45–60 min anytime</t>
        </is>
      </c>
      <c r="O50" s="34" t="inlineStr">
        <is>
          <t>12:00 PM</t>
        </is>
      </c>
      <c r="P50" s="34" t="inlineStr">
        <is>
          <t>3:30 PM</t>
        </is>
      </c>
      <c r="Q50" s="34" t="inlineStr">
        <is>
          <t>7:00 PM</t>
        </is>
      </c>
      <c r="R50" s="34" t="inlineStr">
        <is>
          <t>Active recovery: long walk 45–60 min; eat meals as planned.</t>
        </is>
      </c>
    </row>
    <row r="51">
      <c r="A51" s="106" t="n">
        <v>46237</v>
      </c>
      <c r="B51" s="35" t="n">
        <v>7</v>
      </c>
      <c r="C51" s="35" t="inlineStr">
        <is>
          <t>Rest</t>
        </is>
      </c>
      <c r="D51" s="35" t="inlineStr">
        <is>
          <t>Greek Yogurt Protein Bowl</t>
        </is>
      </c>
      <c r="E51" s="35" t="inlineStr">
        <is>
          <t>Chicken Salad Wrap</t>
        </is>
      </c>
      <c r="F51" s="35" t="inlineStr">
        <is>
          <t>Lean Beef Potato Bowl</t>
        </is>
      </c>
      <c r="G51" s="35" t="inlineStr">
        <is>
          <t>Boiled Eggs + Fruit</t>
        </is>
      </c>
      <c r="H51" s="35" t="str"/>
      <c r="I51" s="107">
        <f>IFERROR(XLOOKUP(D51,'Recipes Snacks'!$A$3:$A$16,'Recipes Snacks'!$B$3:$B$16),0)+IFERROR(XLOOKUP(E51,'Recipes Snacks'!$A$3:$A$16,'Recipes Snacks'!$B$3:$B$16),0)+IFERROR(XLOOKUP(F51,'Recipes Snacks'!$A$3:$A$16,'Recipes Snacks'!$B$3:$B$16),0)+IFERROR(XLOOKUP(G51,'Recipes Snacks'!$A$3:$A$16,'Recipes Snacks'!$B$3:$B$16),0)+IFERROR(XLOOKUP(H51,'Recipes Snacks'!$A$3:$A$16,'Recipes Snacks'!$B$3:$B$16),0)</f>
        <v/>
      </c>
      <c r="J51" s="107">
        <f>IFERROR(XLOOKUP(D51,'Recipes Snacks'!$A$3:$A$16,'Recipes Snacks'!$C$3:$C$16),0)+IFERROR(XLOOKUP(E51,'Recipes Snacks'!$A$3:$A$16,'Recipes Snacks'!$C$3:$C$16),0)+IFERROR(XLOOKUP(F51,'Recipes Snacks'!$A$3:$A$16,'Recipes Snacks'!$C$3:$C$16),0)+IFERROR(XLOOKUP(G51,'Recipes Snacks'!$A$3:$A$16,'Recipes Snacks'!$C$3:$C$16),0)+IFERROR(XLOOKUP(H51,'Recipes Snacks'!$A$3:$A$16,'Recipes Snacks'!$C$3:$C$16),0)</f>
        <v/>
      </c>
      <c r="K51" s="35" t="inlineStr">
        <is>
          <t>≈1,940 kcal. Slightly lower-carb rest day.</t>
        </is>
      </c>
      <c r="L51" s="34" t="inlineStr">
        <is>
          <t>4:00 AM wake; water + coffee/tea</t>
        </is>
      </c>
      <c r="M51" s="34" t="inlineStr">
        <is>
          <t>8:30 AM</t>
        </is>
      </c>
      <c r="N51" s="34" t="inlineStr">
        <is>
          <t>No gym; walk 30–60 min anytime</t>
        </is>
      </c>
      <c r="O51" s="34" t="inlineStr">
        <is>
          <t>12:30 PM</t>
        </is>
      </c>
      <c r="P51" s="34" t="inlineStr">
        <is>
          <t>3:30 PM</t>
        </is>
      </c>
      <c r="Q51" s="34" t="inlineStr">
        <is>
          <t>7:00 PM</t>
        </is>
      </c>
      <c r="R51" s="34" t="inlineStr">
        <is>
          <t>Keep carbs slightly lower; hit protein; no need for pre/post-workout timing.</t>
        </is>
      </c>
    </row>
    <row r="52">
      <c r="A52" s="106" t="n">
        <v>46238</v>
      </c>
      <c r="B52" s="35" t="n">
        <v>8</v>
      </c>
      <c r="C52" s="35" t="inlineStr">
        <is>
          <t>Push</t>
        </is>
      </c>
      <c r="D52" s="35" t="inlineStr">
        <is>
          <t>Egg Turkey Toast Plate</t>
        </is>
      </c>
      <c r="E52" s="35" t="inlineStr">
        <is>
          <t>Chicken Rice Bowl</t>
        </is>
      </c>
      <c r="F52" s="35" t="inlineStr">
        <is>
          <t>Ground Turkey Pasta</t>
        </is>
      </c>
      <c r="G52" s="35" t="inlineStr">
        <is>
          <t>Greek Yogurt + Apple</t>
        </is>
      </c>
      <c r="H52" s="35" t="str"/>
      <c r="I52" s="107">
        <f>IFERROR(XLOOKUP(D52,'Recipes Snacks'!$A$3:$A$16,'Recipes Snacks'!$B$3:$B$16),0)+IFERROR(XLOOKUP(E52,'Recipes Snacks'!$A$3:$A$16,'Recipes Snacks'!$B$3:$B$16),0)+IFERROR(XLOOKUP(F52,'Recipes Snacks'!$A$3:$A$16,'Recipes Snacks'!$B$3:$B$16),0)+IFERROR(XLOOKUP(G52,'Recipes Snacks'!$A$3:$A$16,'Recipes Snacks'!$B$3:$B$16),0)+IFERROR(XLOOKUP(H52,'Recipes Snacks'!$A$3:$A$16,'Recipes Snacks'!$B$3:$B$16),0)</f>
        <v/>
      </c>
      <c r="J52" s="107">
        <f>IFERROR(XLOOKUP(D52,'Recipes Snacks'!$A$3:$A$16,'Recipes Snacks'!$C$3:$C$16),0)+IFERROR(XLOOKUP(E52,'Recipes Snacks'!$A$3:$A$16,'Recipes Snacks'!$C$3:$C$16),0)+IFERROR(XLOOKUP(F52,'Recipes Snacks'!$A$3:$A$16,'Recipes Snacks'!$C$3:$C$16),0)+IFERROR(XLOOKUP(G52,'Recipes Snacks'!$A$3:$A$16,'Recipes Snacks'!$C$3:$C$16),0)+IFERROR(XLOOKUP(H52,'Recipes Snacks'!$A$3:$A$16,'Recipes Snacks'!$C$3:$C$16),0)</f>
        <v/>
      </c>
      <c r="K52" s="35" t="inlineStr">
        <is>
          <t>≈1,940 kcal. Add fruit only if training energy is low.</t>
        </is>
      </c>
      <c r="L52" s="34" t="inlineStr">
        <is>
          <t>4:00 AM wake; water + coffee/tea</t>
        </is>
      </c>
      <c r="M52" s="34" t="inlineStr">
        <is>
          <t>8:30 AM pre-workout breakfast</t>
        </is>
      </c>
      <c r="N52" s="34" t="inlineStr">
        <is>
          <t>9:45–11:00 AM</t>
        </is>
      </c>
      <c r="O52" s="34" t="inlineStr">
        <is>
          <t>12:00 PM post-workout lunch</t>
        </is>
      </c>
      <c r="P52" s="34" t="inlineStr">
        <is>
          <t>3:30 PM</t>
        </is>
      </c>
      <c r="Q52" s="34" t="inlineStr">
        <is>
          <t>7:00 PM</t>
        </is>
      </c>
      <c r="R52" s="34" t="inlineStr">
        <is>
          <t>Best default: lift after work block, then eat lunch within 1–2 hours.</t>
        </is>
      </c>
    </row>
    <row r="53">
      <c r="A53" s="106" t="n">
        <v>46239</v>
      </c>
      <c r="B53" s="35" t="n">
        <v>8</v>
      </c>
      <c r="C53" s="35" t="inlineStr">
        <is>
          <t>Pull</t>
        </is>
      </c>
      <c r="D53" s="35" t="inlineStr">
        <is>
          <t>Greek Yogurt Protein Bowl</t>
        </is>
      </c>
      <c r="E53" s="35" t="inlineStr">
        <is>
          <t>Tuna Greek Yogurt Wrap</t>
        </is>
      </c>
      <c r="F53" s="35" t="inlineStr">
        <is>
          <t>Chicken Rice Bowl</t>
        </is>
      </c>
      <c r="G53" s="35" t="inlineStr">
        <is>
          <t>Cottage Cheese Fruit Bowl</t>
        </is>
      </c>
      <c r="H53" s="35" t="str"/>
      <c r="I53" s="107">
        <f>IFERROR(XLOOKUP(D53,'Recipes Snacks'!$A$3:$A$16,'Recipes Snacks'!$B$3:$B$16),0)+IFERROR(XLOOKUP(E53,'Recipes Snacks'!$A$3:$A$16,'Recipes Snacks'!$B$3:$B$16),0)+IFERROR(XLOOKUP(F53,'Recipes Snacks'!$A$3:$A$16,'Recipes Snacks'!$B$3:$B$16),0)+IFERROR(XLOOKUP(G53,'Recipes Snacks'!$A$3:$A$16,'Recipes Snacks'!$B$3:$B$16),0)+IFERROR(XLOOKUP(H53,'Recipes Snacks'!$A$3:$A$16,'Recipes Snacks'!$B$3:$B$16),0)</f>
        <v/>
      </c>
      <c r="J53" s="107">
        <f>IFERROR(XLOOKUP(D53,'Recipes Snacks'!$A$3:$A$16,'Recipes Snacks'!$C$3:$C$16),0)+IFERROR(XLOOKUP(E53,'Recipes Snacks'!$A$3:$A$16,'Recipes Snacks'!$C$3:$C$16),0)+IFERROR(XLOOKUP(F53,'Recipes Snacks'!$A$3:$A$16,'Recipes Snacks'!$C$3:$C$16),0)+IFERROR(XLOOKUP(G53,'Recipes Snacks'!$A$3:$A$16,'Recipes Snacks'!$C$3:$C$16),0)+IFERROR(XLOOKUP(H53,'Recipes Snacks'!$A$3:$A$16,'Recipes Snacks'!$C$3:$C$16),0)</f>
        <v/>
      </c>
      <c r="K53" s="35" t="inlineStr">
        <is>
          <t>≈1,915 kcal. Good protein day.</t>
        </is>
      </c>
      <c r="L53" s="34" t="inlineStr">
        <is>
          <t>4:00 AM wake; water + coffee/tea</t>
        </is>
      </c>
      <c r="M53" s="34" t="inlineStr">
        <is>
          <t>8:30 AM pre-workout breakfast</t>
        </is>
      </c>
      <c r="N53" s="34" t="inlineStr">
        <is>
          <t>9:45–11:00 AM</t>
        </is>
      </c>
      <c r="O53" s="34" t="inlineStr">
        <is>
          <t>12:00 PM post-workout lunch</t>
        </is>
      </c>
      <c r="P53" s="34" t="inlineStr">
        <is>
          <t>3:30 PM</t>
        </is>
      </c>
      <c r="Q53" s="34" t="inlineStr">
        <is>
          <t>7:00 PM</t>
        </is>
      </c>
      <c r="R53" s="34" t="inlineStr">
        <is>
          <t>Best default: lift after work block, then eat lunch within 1–2 hours.</t>
        </is>
      </c>
    </row>
    <row r="54">
      <c r="A54" s="106" t="n">
        <v>46240</v>
      </c>
      <c r="B54" s="35" t="n">
        <v>8</v>
      </c>
      <c r="C54" s="35" t="inlineStr">
        <is>
          <t>Legs</t>
        </is>
      </c>
      <c r="D54" s="35" t="inlineStr">
        <is>
          <t>Protein Oatmeal</t>
        </is>
      </c>
      <c r="E54" s="35" t="inlineStr">
        <is>
          <t>Chicken Rice Bowl</t>
        </is>
      </c>
      <c r="F54" s="35" t="inlineStr">
        <is>
          <t>Lean Beef Potato Bowl</t>
        </is>
      </c>
      <c r="G54" s="35" t="inlineStr">
        <is>
          <t>Whey Shake + Banana</t>
        </is>
      </c>
      <c r="H54" s="35" t="str"/>
      <c r="I54" s="107">
        <f>IFERROR(XLOOKUP(D54,'Recipes Snacks'!$A$3:$A$16,'Recipes Snacks'!$B$3:$B$16),0)+IFERROR(XLOOKUP(E54,'Recipes Snacks'!$A$3:$A$16,'Recipes Snacks'!$B$3:$B$16),0)+IFERROR(XLOOKUP(F54,'Recipes Snacks'!$A$3:$A$16,'Recipes Snacks'!$B$3:$B$16),0)+IFERROR(XLOOKUP(G54,'Recipes Snacks'!$A$3:$A$16,'Recipes Snacks'!$B$3:$B$16),0)+IFERROR(XLOOKUP(H54,'Recipes Snacks'!$A$3:$A$16,'Recipes Snacks'!$B$3:$B$16),0)</f>
        <v/>
      </c>
      <c r="J54" s="107">
        <f>IFERROR(XLOOKUP(D54,'Recipes Snacks'!$A$3:$A$16,'Recipes Snacks'!$C$3:$C$16),0)+IFERROR(XLOOKUP(E54,'Recipes Snacks'!$A$3:$A$16,'Recipes Snacks'!$C$3:$C$16),0)+IFERROR(XLOOKUP(F54,'Recipes Snacks'!$A$3:$A$16,'Recipes Snacks'!$C$3:$C$16),0)+IFERROR(XLOOKUP(G54,'Recipes Snacks'!$A$3:$A$16,'Recipes Snacks'!$C$3:$C$16),0)+IFERROR(XLOOKUP(H54,'Recipes Snacks'!$A$3:$A$16,'Recipes Snacks'!$C$3:$C$16),0)</f>
        <v/>
      </c>
      <c r="K54" s="35" t="inlineStr">
        <is>
          <t>≈1,990 kcal. Highest-carb leg day.</t>
        </is>
      </c>
      <c r="L54" s="34" t="inlineStr">
        <is>
          <t>4:00 AM wake; water + coffee/tea</t>
        </is>
      </c>
      <c r="M54" s="34" t="inlineStr">
        <is>
          <t>8:30 AM pre-workout breakfast</t>
        </is>
      </c>
      <c r="N54" s="34" t="inlineStr">
        <is>
          <t>9:45–11:15 AM</t>
        </is>
      </c>
      <c r="O54" s="34" t="inlineStr">
        <is>
          <t>12:15 PM post-workout lunch</t>
        </is>
      </c>
      <c r="P54" s="34" t="inlineStr">
        <is>
          <t>3:45 PM</t>
        </is>
      </c>
      <c r="Q54" s="34" t="inlineStr">
        <is>
          <t>7:00 PM</t>
        </is>
      </c>
      <c r="R54" s="34" t="inlineStr">
        <is>
          <t>Hard lower-body day: keep breakfast/lunch carbs; do not skip lunch.</t>
        </is>
      </c>
    </row>
    <row r="55">
      <c r="A55" s="106" t="n">
        <v>46241</v>
      </c>
      <c r="B55" s="35" t="n">
        <v>8</v>
      </c>
      <c r="C55" s="35" t="inlineStr">
        <is>
          <t>Upper</t>
        </is>
      </c>
      <c r="D55" s="35" t="inlineStr">
        <is>
          <t>Egg Turkey Toast Plate</t>
        </is>
      </c>
      <c r="E55" s="35" t="inlineStr">
        <is>
          <t>Ground Turkey Pasta</t>
        </is>
      </c>
      <c r="F55" s="35" t="inlineStr">
        <is>
          <t>Chicken Salad Wrap</t>
        </is>
      </c>
      <c r="G55" s="35" t="inlineStr">
        <is>
          <t>Cottage Cheese Fruit Bowl</t>
        </is>
      </c>
      <c r="H55" s="35" t="str"/>
      <c r="I55" s="107">
        <f>IFERROR(XLOOKUP(D55,'Recipes Snacks'!$A$3:$A$16,'Recipes Snacks'!$B$3:$B$16),0)+IFERROR(XLOOKUP(E55,'Recipes Snacks'!$A$3:$A$16,'Recipes Snacks'!$B$3:$B$16),0)+IFERROR(XLOOKUP(F55,'Recipes Snacks'!$A$3:$A$16,'Recipes Snacks'!$B$3:$B$16),0)+IFERROR(XLOOKUP(G55,'Recipes Snacks'!$A$3:$A$16,'Recipes Snacks'!$B$3:$B$16),0)+IFERROR(XLOOKUP(H55,'Recipes Snacks'!$A$3:$A$16,'Recipes Snacks'!$B$3:$B$16),0)</f>
        <v/>
      </c>
      <c r="J55" s="107">
        <f>IFERROR(XLOOKUP(D55,'Recipes Snacks'!$A$3:$A$16,'Recipes Snacks'!$C$3:$C$16),0)+IFERROR(XLOOKUP(E55,'Recipes Snacks'!$A$3:$A$16,'Recipes Snacks'!$C$3:$C$16),0)+IFERROR(XLOOKUP(F55,'Recipes Snacks'!$A$3:$A$16,'Recipes Snacks'!$C$3:$C$16),0)+IFERROR(XLOOKUP(G55,'Recipes Snacks'!$A$3:$A$16,'Recipes Snacks'!$C$3:$C$16),0)+IFERROR(XLOOKUP(H55,'Recipes Snacks'!$A$3:$A$16,'Recipes Snacks'!$C$3:$C$16),0)</f>
        <v/>
      </c>
      <c r="K55" s="35" t="inlineStr">
        <is>
          <t>≈1,915 kcal. Good protein distribution.</t>
        </is>
      </c>
      <c r="L55" s="34" t="inlineStr">
        <is>
          <t>4:00 AM wake; water + coffee/tea</t>
        </is>
      </c>
      <c r="M55" s="34" t="inlineStr">
        <is>
          <t>8:30 AM pre-workout breakfast</t>
        </is>
      </c>
      <c r="N55" s="34" t="inlineStr">
        <is>
          <t>9:45–11:00 AM</t>
        </is>
      </c>
      <c r="O55" s="34" t="inlineStr">
        <is>
          <t>12:00 PM post-workout lunch</t>
        </is>
      </c>
      <c r="P55" s="34" t="inlineStr">
        <is>
          <t>3:30 PM</t>
        </is>
      </c>
      <c r="Q55" s="34" t="inlineStr">
        <is>
          <t>7:00 PM</t>
        </is>
      </c>
      <c r="R55" s="34" t="inlineStr">
        <is>
          <t>Best default: lift after work block, then eat lunch within 1–2 hours.</t>
        </is>
      </c>
    </row>
    <row r="56">
      <c r="A56" s="106" t="n">
        <v>46242</v>
      </c>
      <c r="B56" s="35" t="n">
        <v>8</v>
      </c>
      <c r="C56" s="35" t="inlineStr">
        <is>
          <t>Lower + Core</t>
        </is>
      </c>
      <c r="D56" s="35" t="inlineStr">
        <is>
          <t>Greek Yogurt Protein Bowl</t>
        </is>
      </c>
      <c r="E56" s="35" t="inlineStr">
        <is>
          <t>Chicken Rice Bowl</t>
        </is>
      </c>
      <c r="F56" s="35" t="inlineStr">
        <is>
          <t>Salmon Potato Plate</t>
        </is>
      </c>
      <c r="G56" s="35" t="inlineStr">
        <is>
          <t>Greek Yogurt + Apple</t>
        </is>
      </c>
      <c r="H56" s="35" t="str"/>
      <c r="I56" s="107">
        <f>IFERROR(XLOOKUP(D56,'Recipes Snacks'!$A$3:$A$16,'Recipes Snacks'!$B$3:$B$16),0)+IFERROR(XLOOKUP(E56,'Recipes Snacks'!$A$3:$A$16,'Recipes Snacks'!$B$3:$B$16),0)+IFERROR(XLOOKUP(F56,'Recipes Snacks'!$A$3:$A$16,'Recipes Snacks'!$B$3:$B$16),0)+IFERROR(XLOOKUP(G56,'Recipes Snacks'!$A$3:$A$16,'Recipes Snacks'!$B$3:$B$16),0)+IFERROR(XLOOKUP(H56,'Recipes Snacks'!$A$3:$A$16,'Recipes Snacks'!$B$3:$B$16),0)</f>
        <v/>
      </c>
      <c r="J56" s="107">
        <f>IFERROR(XLOOKUP(D56,'Recipes Snacks'!$A$3:$A$16,'Recipes Snacks'!$C$3:$C$16),0)+IFERROR(XLOOKUP(E56,'Recipes Snacks'!$A$3:$A$16,'Recipes Snacks'!$C$3:$C$16),0)+IFERROR(XLOOKUP(F56,'Recipes Snacks'!$A$3:$A$16,'Recipes Snacks'!$C$3:$C$16),0)+IFERROR(XLOOKUP(G56,'Recipes Snacks'!$A$3:$A$16,'Recipes Snacks'!$C$3:$C$16),0)+IFERROR(XLOOKUP(H56,'Recipes Snacks'!$A$3:$A$16,'Recipes Snacks'!$C$3:$C$16),0)</f>
        <v/>
      </c>
      <c r="K56" s="35" t="inlineStr">
        <is>
          <t>≈2,005 kcal. Fish meal day.</t>
        </is>
      </c>
      <c r="L56" s="34" t="inlineStr">
        <is>
          <t>4:00 AM wake; water + coffee/tea</t>
        </is>
      </c>
      <c r="M56" s="34" t="inlineStr">
        <is>
          <t>8:30 AM pre-workout breakfast</t>
        </is>
      </c>
      <c r="N56" s="34" t="inlineStr">
        <is>
          <t>9:45–11:15 AM</t>
        </is>
      </c>
      <c r="O56" s="34" t="inlineStr">
        <is>
          <t>12:15 PM post-workout lunch</t>
        </is>
      </c>
      <c r="P56" s="34" t="inlineStr">
        <is>
          <t>3:45 PM</t>
        </is>
      </c>
      <c r="Q56" s="34" t="inlineStr">
        <is>
          <t>7:00 PM</t>
        </is>
      </c>
      <c r="R56" s="34" t="inlineStr">
        <is>
          <t>Hard lower-body day: keep breakfast/lunch carbs; do not skip lunch.</t>
        </is>
      </c>
    </row>
    <row r="57">
      <c r="A57" s="106" t="n">
        <v>46243</v>
      </c>
      <c r="B57" s="35" t="n">
        <v>8</v>
      </c>
      <c r="C57" s="35" t="inlineStr">
        <is>
          <t>Active Recovery</t>
        </is>
      </c>
      <c r="D57" s="35" t="inlineStr">
        <is>
          <t>Protein Oatmeal</t>
        </is>
      </c>
      <c r="E57" s="35" t="inlineStr">
        <is>
          <t>Tuna Greek Yogurt Wrap</t>
        </is>
      </c>
      <c r="F57" s="35" t="inlineStr">
        <is>
          <t>Chicken Rice Bowl</t>
        </is>
      </c>
      <c r="G57" s="35" t="inlineStr">
        <is>
          <t>Protein Bar Emergency</t>
        </is>
      </c>
      <c r="H57" s="35" t="inlineStr">
        <is>
          <t>Apple</t>
        </is>
      </c>
      <c r="I57" s="107">
        <f>IFERROR(XLOOKUP(D57,'Recipes Snacks'!$A$3:$A$16,'Recipes Snacks'!$B$3:$B$16),0)+IFERROR(XLOOKUP(E57,'Recipes Snacks'!$A$3:$A$16,'Recipes Snacks'!$B$3:$B$16),0)+IFERROR(XLOOKUP(F57,'Recipes Snacks'!$A$3:$A$16,'Recipes Snacks'!$B$3:$B$16),0)+IFERROR(XLOOKUP(G57,'Recipes Snacks'!$A$3:$A$16,'Recipes Snacks'!$B$3:$B$16),0)+IFERROR(XLOOKUP(H57,'Recipes Snacks'!$A$3:$A$16,'Recipes Snacks'!$B$3:$B$16),0)</f>
        <v/>
      </c>
      <c r="J57" s="107">
        <f>IFERROR(XLOOKUP(D57,'Recipes Snacks'!$A$3:$A$16,'Recipes Snacks'!$C$3:$C$16),0)+IFERROR(XLOOKUP(E57,'Recipes Snacks'!$A$3:$A$16,'Recipes Snacks'!$C$3:$C$16),0)+IFERROR(XLOOKUP(F57,'Recipes Snacks'!$A$3:$A$16,'Recipes Snacks'!$C$3:$C$16),0)+IFERROR(XLOOKUP(G57,'Recipes Snacks'!$A$3:$A$16,'Recipes Snacks'!$C$3:$C$16),0)+IFERROR(XLOOKUP(H57,'Recipes Snacks'!$A$3:$A$16,'Recipes Snacks'!$C$3:$C$16),0)</f>
        <v/>
      </c>
      <c r="K57" s="35" t="inlineStr">
        <is>
          <t>–1,960 kcal active-recovery day. Apple added to clear the 1,900 floor.</t>
        </is>
      </c>
      <c r="L57" s="34" t="inlineStr">
        <is>
          <t>4:00 AM wake; water + coffee/tea</t>
        </is>
      </c>
      <c r="M57" s="34" t="inlineStr">
        <is>
          <t>8:30 AM</t>
        </is>
      </c>
      <c r="N57" s="34" t="inlineStr">
        <is>
          <t>Walk 45–60 min anytime</t>
        </is>
      </c>
      <c r="O57" s="34" t="inlineStr">
        <is>
          <t>12:00 PM</t>
        </is>
      </c>
      <c r="P57" s="34" t="inlineStr">
        <is>
          <t>3:30 PM</t>
        </is>
      </c>
      <c r="Q57" s="34" t="inlineStr">
        <is>
          <t>7:00 PM</t>
        </is>
      </c>
      <c r="R57" s="34" t="inlineStr">
        <is>
          <t>Active recovery: long walk 45–60 min; eat meals as planned.</t>
        </is>
      </c>
    </row>
    <row r="58">
      <c r="A58" s="106" t="n">
        <v>46244</v>
      </c>
      <c r="B58" s="35" t="n">
        <v>8</v>
      </c>
      <c r="C58" s="35" t="inlineStr">
        <is>
          <t>Rest</t>
        </is>
      </c>
      <c r="D58" s="35" t="inlineStr">
        <is>
          <t>Greek Yogurt Protein Bowl</t>
        </is>
      </c>
      <c r="E58" s="35" t="inlineStr">
        <is>
          <t>Chicken Salad Wrap</t>
        </is>
      </c>
      <c r="F58" s="35" t="inlineStr">
        <is>
          <t>Lean Beef Potato Bowl</t>
        </is>
      </c>
      <c r="G58" s="35" t="inlineStr">
        <is>
          <t>Boiled Eggs + Fruit</t>
        </is>
      </c>
      <c r="H58" s="35" t="str"/>
      <c r="I58" s="107">
        <f>IFERROR(XLOOKUP(D58,'Recipes Snacks'!$A$3:$A$16,'Recipes Snacks'!$B$3:$B$16),0)+IFERROR(XLOOKUP(E58,'Recipes Snacks'!$A$3:$A$16,'Recipes Snacks'!$B$3:$B$16),0)+IFERROR(XLOOKUP(F58,'Recipes Snacks'!$A$3:$A$16,'Recipes Snacks'!$B$3:$B$16),0)+IFERROR(XLOOKUP(G58,'Recipes Snacks'!$A$3:$A$16,'Recipes Snacks'!$B$3:$B$16),0)+IFERROR(XLOOKUP(H58,'Recipes Snacks'!$A$3:$A$16,'Recipes Snacks'!$B$3:$B$16),0)</f>
        <v/>
      </c>
      <c r="J58" s="107">
        <f>IFERROR(XLOOKUP(D58,'Recipes Snacks'!$A$3:$A$16,'Recipes Snacks'!$C$3:$C$16),0)+IFERROR(XLOOKUP(E58,'Recipes Snacks'!$A$3:$A$16,'Recipes Snacks'!$C$3:$C$16),0)+IFERROR(XLOOKUP(F58,'Recipes Snacks'!$A$3:$A$16,'Recipes Snacks'!$C$3:$C$16),0)+IFERROR(XLOOKUP(G58,'Recipes Snacks'!$A$3:$A$16,'Recipes Snacks'!$C$3:$C$16),0)+IFERROR(XLOOKUP(H58,'Recipes Snacks'!$A$3:$A$16,'Recipes Snacks'!$C$3:$C$16),0)</f>
        <v/>
      </c>
      <c r="K58" s="35" t="inlineStr">
        <is>
          <t>≈1,940 kcal. Slightly lower-carb rest day.</t>
        </is>
      </c>
      <c r="L58" s="34" t="inlineStr">
        <is>
          <t>4:00 AM wake; water + coffee/tea</t>
        </is>
      </c>
      <c r="M58" s="34" t="inlineStr">
        <is>
          <t>8:30 AM</t>
        </is>
      </c>
      <c r="N58" s="34" t="inlineStr">
        <is>
          <t>No gym; walk 30–60 min anytime</t>
        </is>
      </c>
      <c r="O58" s="34" t="inlineStr">
        <is>
          <t>12:30 PM</t>
        </is>
      </c>
      <c r="P58" s="34" t="inlineStr">
        <is>
          <t>3:30 PM</t>
        </is>
      </c>
      <c r="Q58" s="34" t="inlineStr">
        <is>
          <t>7:00 PM</t>
        </is>
      </c>
      <c r="R58" s="34" t="inlineStr">
        <is>
          <t>Keep carbs slightly lower; hit protein; no need for pre/post-workout timing.</t>
        </is>
      </c>
    </row>
  </sheetData>
  <mergeCells count="2">
    <mergeCell ref="A1:K1"/>
    <mergeCell ref="L1:R1"/>
  </mergeCells>
  <conditionalFormatting sqref="I3:I58">
    <cfRule type="cellIs" priority="1" operator="greaterThan" dxfId="0">
      <formula>2100</formula>
    </cfRule>
  </conditionalFormatting>
  <conditionalFormatting sqref="J3:J58">
    <cfRule type="cellIs" priority="2" operator="lessThan" dxfId="0">
      <formula>130</formula>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12" customWidth="1" style="74" min="1" max="1"/>
    <col width="28" customWidth="1" style="74" min="2" max="2"/>
    <col width="18" customWidth="1" style="74" min="3" max="3"/>
    <col width="28" customWidth="1" style="74" min="4" max="4"/>
    <col width="26" customWidth="1" style="74" min="5" max="5"/>
    <col width="26" customWidth="1" style="74" min="6" max="6"/>
    <col width="32" customWidth="1" style="74" min="7" max="7"/>
    <col width="22" customWidth="1" style="74" min="8" max="8"/>
  </cols>
  <sheetData>
    <row r="1" ht="28" customHeight="1" s="74">
      <c r="A1" s="11" t="inlineStr">
        <is>
          <t>Weekly Target Grocery List</t>
        </is>
      </c>
      <c r="B1" s="1" t="n"/>
      <c r="C1" s="1" t="n"/>
      <c r="D1" s="1" t="n"/>
      <c r="E1" s="1" t="n"/>
      <c r="F1" s="1" t="n"/>
      <c r="G1" s="1" t="n"/>
      <c r="H1" s="1" t="n"/>
      <c r="I1" s="34" t="n"/>
      <c r="J1" s="34" t="n"/>
      <c r="K1" s="34" t="n"/>
    </row>
    <row r="2">
      <c r="A2" s="42" t="inlineStr">
        <is>
          <t>Category</t>
        </is>
      </c>
      <c r="B2" s="42" t="inlineStr">
        <is>
          <t>Item</t>
        </is>
      </c>
      <c r="C2" s="42" t="inlineStr">
        <is>
          <t>Weekly Quantity</t>
        </is>
      </c>
      <c r="D2" s="42" t="inlineStr">
        <is>
          <t>Target search/aisle words</t>
        </is>
      </c>
      <c r="E2" s="42" t="inlineStr">
        <is>
          <t>Used for</t>
        </is>
      </c>
      <c r="F2" s="42" t="inlineStr">
        <is>
          <t>Budget note</t>
        </is>
      </c>
      <c r="G2" s="42" t="inlineStr">
        <is>
          <t>Prep note</t>
        </is>
      </c>
      <c r="H2" s="42" t="inlineStr">
        <is>
          <t>Backup option</t>
        </is>
      </c>
    </row>
    <row r="3">
      <c r="A3" s="35" t="inlineStr">
        <is>
          <t>Protein</t>
        </is>
      </c>
      <c r="B3" s="35" t="inlineStr">
        <is>
          <t>Chicken breast or tenderloins</t>
        </is>
      </c>
      <c r="C3" s="35" t="inlineStr">
        <is>
          <t>2.5–3 lb/week</t>
        </is>
      </c>
      <c r="D3" s="35" t="inlineStr">
        <is>
          <t>chicken breast, fresh or frozen</t>
        </is>
      </c>
      <c r="E3" s="35" t="inlineStr">
        <is>
          <t>Chicken bowls, wraps, salads</t>
        </is>
      </c>
      <c r="F3" s="35" t="inlineStr">
        <is>
          <t>Main cheap protein</t>
        </is>
      </c>
      <c r="G3" s="35" t="inlineStr">
        <is>
          <t>Cook 2 batches/week</t>
        </is>
      </c>
      <c r="H3" s="35" t="inlineStr">
        <is>
          <t>Rotisserie chicken if busy</t>
        </is>
      </c>
    </row>
    <row r="4">
      <c r="A4" s="35" t="inlineStr">
        <is>
          <t>Protein</t>
        </is>
      </c>
      <c r="B4" s="35" t="inlineStr">
        <is>
          <t>93% lean ground turkey</t>
        </is>
      </c>
      <c r="C4" s="35" t="inlineStr">
        <is>
          <t>1–1.5 lb/week</t>
        </is>
      </c>
      <c r="D4" s="35" t="inlineStr">
        <is>
          <t>ground turkey 93 lean</t>
        </is>
      </c>
      <c r="E4" s="35" t="inlineStr">
        <is>
          <t>Turkey pasta, bowls</t>
        </is>
      </c>
      <c r="F4" s="35" t="inlineStr">
        <is>
          <t>Usually cheaper than fish</t>
        </is>
      </c>
      <c r="G4" s="35" t="inlineStr">
        <is>
          <t>Cook with marinara/spices</t>
        </is>
      </c>
      <c r="H4" s="35" t="inlineStr">
        <is>
          <t>Lean beef/chicken</t>
        </is>
      </c>
    </row>
    <row r="5">
      <c r="A5" s="35" t="inlineStr">
        <is>
          <t>Protein</t>
        </is>
      </c>
      <c r="B5" s="35" t="inlineStr">
        <is>
          <t>Eggs</t>
        </is>
      </c>
      <c r="C5" s="35" t="inlineStr">
        <is>
          <t>12 count/week</t>
        </is>
      </c>
      <c r="D5" s="35" t="inlineStr">
        <is>
          <t>large eggs</t>
        </is>
      </c>
      <c r="E5" s="35" t="inlineStr">
        <is>
          <t>Breakfast/snacks</t>
        </is>
      </c>
      <c r="F5" s="35" t="inlineStr">
        <is>
          <t>Very cost-effective</t>
        </is>
      </c>
      <c r="G5" s="35" t="inlineStr">
        <is>
          <t>Boil 4–6 eggs at once</t>
        </is>
      </c>
      <c r="H5" s="35" t="inlineStr">
        <is>
          <t>Egg whites carton</t>
        </is>
      </c>
    </row>
    <row r="6">
      <c r="A6" s="35" t="inlineStr">
        <is>
          <t>Protein</t>
        </is>
      </c>
      <c r="B6" s="35" t="inlineStr">
        <is>
          <t>Liquid egg whites</t>
        </is>
      </c>
      <c r="C6" s="35" t="inlineStr">
        <is>
          <t>1 carton/week</t>
        </is>
      </c>
      <c r="D6" s="35" t="inlineStr">
        <is>
          <t>egg whites</t>
        </is>
      </c>
      <c r="E6" s="35" t="inlineStr">
        <is>
          <t>Egg breakfast</t>
        </is>
      </c>
      <c r="F6" s="35" t="inlineStr">
        <is>
          <t>Optional but high-protein</t>
        </is>
      </c>
      <c r="G6" s="35" t="inlineStr">
        <is>
          <t>Add to 2 whole eggs</t>
        </is>
      </c>
      <c r="H6" s="35" t="inlineStr">
        <is>
          <t>More whole eggs</t>
        </is>
      </c>
    </row>
    <row r="7">
      <c r="A7" s="35" t="inlineStr">
        <is>
          <t>Protein</t>
        </is>
      </c>
      <c r="B7" s="35" t="inlineStr">
        <is>
          <t>Nonfat Greek yogurt</t>
        </is>
      </c>
      <c r="C7" s="35" t="inlineStr">
        <is>
          <t>48–64 oz/week</t>
        </is>
      </c>
      <c r="D7" s="35" t="inlineStr">
        <is>
          <t>plain Greek yogurt</t>
        </is>
      </c>
      <c r="E7" s="35" t="inlineStr">
        <is>
          <t>Bowls, sauces, snacks</t>
        </is>
      </c>
      <c r="F7" s="35" t="inlineStr">
        <is>
          <t>Buy big tub</t>
        </is>
      </c>
      <c r="G7" s="35" t="inlineStr">
        <is>
          <t>Use for tuna sauce too</t>
        </is>
      </c>
      <c r="H7" s="35" t="inlineStr">
        <is>
          <t>Skyr</t>
        </is>
      </c>
    </row>
    <row r="8">
      <c r="A8" s="35" t="inlineStr">
        <is>
          <t>Protein</t>
        </is>
      </c>
      <c r="B8" s="35" t="inlineStr">
        <is>
          <t>Cottage cheese</t>
        </is>
      </c>
      <c r="C8" s="35" t="inlineStr">
        <is>
          <t>24 oz/week</t>
        </is>
      </c>
      <c r="D8" s="35" t="inlineStr">
        <is>
          <t>cottage cheese</t>
        </is>
      </c>
      <c r="E8" s="35" t="inlineStr">
        <is>
          <t>Evening snack</t>
        </is>
      </c>
      <c r="F8" s="35" t="inlineStr">
        <is>
          <t>Good protein per dollar</t>
        </is>
      </c>
      <c r="G8" s="35" t="inlineStr">
        <is>
          <t>Eat with fruit</t>
        </is>
      </c>
      <c r="H8" s="35" t="inlineStr">
        <is>
          <t>Greek yogurt</t>
        </is>
      </c>
    </row>
    <row r="9">
      <c r="A9" s="35" t="inlineStr">
        <is>
          <t>Protein</t>
        </is>
      </c>
      <c r="B9" s="35" t="inlineStr">
        <is>
          <t>Tuna cans/pouches</t>
        </is>
      </c>
      <c r="C9" s="35" t="inlineStr">
        <is>
          <t>3–4/week</t>
        </is>
      </c>
      <c r="D9" s="35" t="inlineStr">
        <is>
          <t>tuna in water</t>
        </is>
      </c>
      <c r="E9" s="35" t="inlineStr">
        <is>
          <t>Quick wraps</t>
        </is>
      </c>
      <c r="F9" s="35" t="inlineStr">
        <is>
          <t>Cheap emergency meal</t>
        </is>
      </c>
      <c r="G9" s="35" t="inlineStr">
        <is>
          <t>Mix with yogurt + spices</t>
        </is>
      </c>
      <c r="H9" s="35" t="inlineStr">
        <is>
          <t>Canned chicken</t>
        </is>
      </c>
    </row>
    <row r="10">
      <c r="A10" s="35" t="inlineStr">
        <is>
          <t>Protein</t>
        </is>
      </c>
      <c r="B10" s="35" t="inlineStr">
        <is>
          <t>Salmon/frozen fish</t>
        </is>
      </c>
      <c r="C10" s="35" t="inlineStr">
        <is>
          <t>1 lb/week</t>
        </is>
      </c>
      <c r="D10" s="35" t="inlineStr">
        <is>
          <t>frozen salmon, tilapia, cod</t>
        </is>
      </c>
      <c r="E10" s="35" t="inlineStr">
        <is>
          <t>Fish meal 1–2x/week</t>
        </is>
      </c>
      <c r="F10" s="35" t="inlineStr">
        <is>
          <t>More expensive; keep optional</t>
        </is>
      </c>
      <c r="G10" s="35" t="inlineStr">
        <is>
          <t>Cook 1–2 servings</t>
        </is>
      </c>
      <c r="H10" s="35" t="inlineStr">
        <is>
          <t>Chicken/turkey</t>
        </is>
      </c>
    </row>
    <row r="11">
      <c r="A11" s="35" t="inlineStr">
        <is>
          <t>Protein</t>
        </is>
      </c>
      <c r="B11" s="35" t="inlineStr">
        <is>
          <t>Whey protein</t>
        </is>
      </c>
      <c r="C11" s="35" t="inlineStr">
        <is>
          <t>Optional 1 tub</t>
        </is>
      </c>
      <c r="D11" s="35" t="inlineStr">
        <is>
          <t>protein powder</t>
        </is>
      </c>
      <c r="E11" s="35" t="inlineStr">
        <is>
          <t>Fast snack/post-workout</t>
        </is>
      </c>
      <c r="F11" s="35" t="inlineStr">
        <is>
          <t>Useful but not required</t>
        </is>
      </c>
      <c r="G11" s="35" t="inlineStr">
        <is>
          <t>1 scoop/day max if needed</t>
        </is>
      </c>
      <c r="H11" s="35" t="inlineStr">
        <is>
          <t>Greek yogurt</t>
        </is>
      </c>
    </row>
    <row r="12">
      <c r="A12" s="35" t="inlineStr">
        <is>
          <t>Carb</t>
        </is>
      </c>
      <c r="B12" s="35" t="inlineStr">
        <is>
          <t>Oats</t>
        </is>
      </c>
      <c r="C12" s="35" t="inlineStr">
        <is>
          <t>1 container</t>
        </is>
      </c>
      <c r="D12" s="35" t="inlineStr">
        <is>
          <t>old fashioned oats</t>
        </is>
      </c>
      <c r="E12" s="35" t="inlineStr">
        <is>
          <t>Breakfast</t>
        </is>
      </c>
      <c r="F12" s="35" t="inlineStr">
        <is>
          <t>Very cheap</t>
        </is>
      </c>
      <c r="G12" s="35" t="inlineStr">
        <is>
          <t>Use 1/2 cup portions</t>
        </is>
      </c>
      <c r="H12" s="35" t="inlineStr">
        <is>
          <t>Whole grain cereal</t>
        </is>
      </c>
    </row>
    <row r="13">
      <c r="A13" s="35" t="inlineStr">
        <is>
          <t>Carb</t>
        </is>
      </c>
      <c r="B13" s="35" t="inlineStr">
        <is>
          <t>Rice</t>
        </is>
      </c>
      <c r="C13" s="35" t="inlineStr">
        <is>
          <t>1–2 lb bag or microwave packs</t>
        </is>
      </c>
      <c r="D13" s="35" t="inlineStr">
        <is>
          <t>rice, jasmine, brown, minute rice</t>
        </is>
      </c>
      <c r="E13" s="35" t="inlineStr">
        <is>
          <t>Chicken bowls</t>
        </is>
      </c>
      <c r="F13" s="35" t="inlineStr">
        <is>
          <t>Bag is cheaper; microwave is easier</t>
        </is>
      </c>
      <c r="G13" s="35" t="inlineStr">
        <is>
          <t>Cook bulk</t>
        </is>
      </c>
      <c r="H13" s="35" t="inlineStr">
        <is>
          <t>Potatoes</t>
        </is>
      </c>
    </row>
    <row r="14">
      <c r="A14" s="35" t="inlineStr">
        <is>
          <t>Carb</t>
        </is>
      </c>
      <c r="B14" s="35" t="inlineStr">
        <is>
          <t>Potatoes</t>
        </is>
      </c>
      <c r="C14" s="35" t="inlineStr">
        <is>
          <t>5 lb bag/week</t>
        </is>
      </c>
      <c r="D14" s="35" t="inlineStr">
        <is>
          <t>russet/gold potatoes</t>
        </is>
      </c>
      <c r="E14" s="35" t="inlineStr">
        <is>
          <t>Leg-day meals</t>
        </is>
      </c>
      <c r="F14" s="35" t="inlineStr">
        <is>
          <t>Cheap and filling</t>
        </is>
      </c>
      <c r="G14" s="35" t="inlineStr">
        <is>
          <t>Boil/roast in bulk</t>
        </is>
      </c>
      <c r="H14" s="35" t="inlineStr">
        <is>
          <t>Sweet potatoes</t>
        </is>
      </c>
    </row>
    <row r="15">
      <c r="A15" s="35" t="inlineStr">
        <is>
          <t>Carb</t>
        </is>
      </c>
      <c r="B15" s="35" t="inlineStr">
        <is>
          <t>Whole-wheat wraps</t>
        </is>
      </c>
      <c r="C15" s="35" t="inlineStr">
        <is>
          <t>1 pack/week</t>
        </is>
      </c>
      <c r="D15" s="35" t="inlineStr">
        <is>
          <t>whole wheat tortillas</t>
        </is>
      </c>
      <c r="E15" s="35" t="inlineStr">
        <is>
          <t>Tuna/chicken wraps</t>
        </is>
      </c>
      <c r="F15" s="35" t="inlineStr">
        <is>
          <t>Convenient</t>
        </is>
      </c>
      <c r="G15" s="35" t="inlineStr">
        <is>
          <t>Keep sealed/fridge if needed</t>
        </is>
      </c>
      <c r="H15" s="35" t="inlineStr">
        <is>
          <t>Whole-wheat bread</t>
        </is>
      </c>
    </row>
    <row r="16">
      <c r="A16" s="35" t="inlineStr">
        <is>
          <t>Carb</t>
        </is>
      </c>
      <c r="B16" s="35" t="inlineStr">
        <is>
          <t>Whole-wheat bread</t>
        </is>
      </c>
      <c r="C16" s="35" t="inlineStr">
        <is>
          <t>1 loaf/week</t>
        </is>
      </c>
      <c r="D16" s="35" t="inlineStr">
        <is>
          <t>whole wheat bread</t>
        </is>
      </c>
      <c r="E16" s="35" t="inlineStr">
        <is>
          <t>Breakfast toast</t>
        </is>
      </c>
      <c r="F16" s="35" t="inlineStr">
        <is>
          <t>Budget-friendly</t>
        </is>
      </c>
      <c r="G16" s="35" t="inlineStr">
        <is>
          <t>Freeze if needed</t>
        </is>
      </c>
      <c r="H16" s="35" t="inlineStr">
        <is>
          <t>English muffins</t>
        </is>
      </c>
    </row>
    <row r="17">
      <c r="A17" s="35" t="inlineStr">
        <is>
          <t>Carb</t>
        </is>
      </c>
      <c r="B17" s="35" t="inlineStr">
        <is>
          <t>Pasta</t>
        </is>
      </c>
      <c r="C17" s="35" t="inlineStr">
        <is>
          <t>1 box/week</t>
        </is>
      </c>
      <c r="D17" s="35" t="inlineStr">
        <is>
          <t>pasta</t>
        </is>
      </c>
      <c r="E17" s="35" t="inlineStr">
        <is>
          <t>Turkey pasta</t>
        </is>
      </c>
      <c r="F17" s="35" t="inlineStr">
        <is>
          <t>Cheap but measure portions</t>
        </is>
      </c>
      <c r="G17" s="35" t="inlineStr">
        <is>
          <t>Use 2 oz dry portion</t>
        </is>
      </c>
      <c r="H17" s="35" t="inlineStr">
        <is>
          <t>Rice/potatoes</t>
        </is>
      </c>
    </row>
    <row r="18">
      <c r="A18" s="35" t="inlineStr">
        <is>
          <t>Fruit</t>
        </is>
      </c>
      <c r="B18" s="35" t="inlineStr">
        <is>
          <t>Bananas</t>
        </is>
      </c>
      <c r="C18" s="35" t="inlineStr">
        <is>
          <t>7–10/week</t>
        </is>
      </c>
      <c r="D18" s="35" t="inlineStr">
        <is>
          <t>bananas</t>
        </is>
      </c>
      <c r="E18" s="35" t="inlineStr">
        <is>
          <t>Shakes/oatmeal/snacks</t>
        </is>
      </c>
      <c r="F18" s="35" t="inlineStr">
        <is>
          <t>Cheap</t>
        </is>
      </c>
      <c r="G18" s="35" t="inlineStr">
        <is>
          <t>Use around workouts</t>
        </is>
      </c>
      <c r="H18" s="35" t="inlineStr">
        <is>
          <t>Apples</t>
        </is>
      </c>
    </row>
    <row r="19">
      <c r="A19" s="35" t="inlineStr">
        <is>
          <t>Fruit</t>
        </is>
      </c>
      <c r="B19" s="35" t="inlineStr">
        <is>
          <t>Apples/oranges</t>
        </is>
      </c>
      <c r="C19" s="35" t="inlineStr">
        <is>
          <t>5–7/week</t>
        </is>
      </c>
      <c r="D19" s="35" t="inlineStr">
        <is>
          <t>apples, oranges</t>
        </is>
      </c>
      <c r="E19" s="35" t="inlineStr">
        <is>
          <t>Snacks</t>
        </is>
      </c>
      <c r="F19" s="35" t="inlineStr">
        <is>
          <t>Cheap/filling</t>
        </is>
      </c>
      <c r="G19" s="35" t="inlineStr">
        <is>
          <t>Carry to campus</t>
        </is>
      </c>
      <c r="H19" s="35" t="inlineStr">
        <is>
          <t>Grapes</t>
        </is>
      </c>
    </row>
    <row r="20">
      <c r="A20" s="35" t="inlineStr">
        <is>
          <t>Fruit</t>
        </is>
      </c>
      <c r="B20" s="35" t="inlineStr">
        <is>
          <t>Frozen berries</t>
        </is>
      </c>
      <c r="C20" s="35" t="inlineStr">
        <is>
          <t>1 bag/week</t>
        </is>
      </c>
      <c r="D20" s="35" t="inlineStr">
        <is>
          <t>frozen berries</t>
        </is>
      </c>
      <c r="E20" s="35" t="inlineStr">
        <is>
          <t>Yogurt bowls</t>
        </is>
      </c>
      <c r="F20" s="35" t="inlineStr">
        <is>
          <t>Often cheaper frozen</t>
        </is>
      </c>
      <c r="G20" s="35" t="inlineStr">
        <is>
          <t>Add to yogurt/oats</t>
        </is>
      </c>
      <c r="H20" s="35" t="inlineStr">
        <is>
          <t>Fresh berries</t>
        </is>
      </c>
    </row>
    <row r="21">
      <c r="A21" s="35" t="inlineStr">
        <is>
          <t>Vegetable</t>
        </is>
      </c>
      <c r="B21" s="35" t="inlineStr">
        <is>
          <t>Frozen broccoli/mixed veg</t>
        </is>
      </c>
      <c r="C21" s="35" t="inlineStr">
        <is>
          <t>4–6 bags/week</t>
        </is>
      </c>
      <c r="D21" s="35" t="inlineStr">
        <is>
          <t>frozen broccoli, mixed vegetables</t>
        </is>
      </c>
      <c r="E21" s="35" t="inlineStr">
        <is>
          <t>Bowls and plates</t>
        </is>
      </c>
      <c r="F21" s="35" t="inlineStr">
        <is>
          <t>Best convenience</t>
        </is>
      </c>
      <c r="G21" s="35" t="inlineStr">
        <is>
          <t>Microwave portions</t>
        </is>
      </c>
      <c r="H21" s="35" t="inlineStr">
        <is>
          <t>Fresh broccoli</t>
        </is>
      </c>
    </row>
    <row r="22">
      <c r="A22" s="35" t="inlineStr">
        <is>
          <t>Vegetable</t>
        </is>
      </c>
      <c r="B22" s="35" t="inlineStr">
        <is>
          <t>Spinach/salad greens</t>
        </is>
      </c>
      <c r="C22" s="35" t="inlineStr">
        <is>
          <t>1–2 boxes/week</t>
        </is>
      </c>
      <c r="D22" s="35" t="inlineStr">
        <is>
          <t>spinach, spring mix</t>
        </is>
      </c>
      <c r="E22" s="35" t="inlineStr">
        <is>
          <t>Breakfast/wraps</t>
        </is>
      </c>
      <c r="F22" s="35" t="inlineStr">
        <is>
          <t>Buy smaller if spoilage</t>
        </is>
      </c>
      <c r="G22" s="35" t="inlineStr">
        <is>
          <t>Use daily</t>
        </is>
      </c>
      <c r="H22" s="35" t="inlineStr">
        <is>
          <t>Frozen spinach</t>
        </is>
      </c>
    </row>
    <row r="23">
      <c r="A23" s="35" t="inlineStr">
        <is>
          <t>Vegetable</t>
        </is>
      </c>
      <c r="B23" s="35" t="inlineStr">
        <is>
          <t>Salad kits</t>
        </is>
      </c>
      <c r="C23" s="35" t="inlineStr">
        <is>
          <t>1–2/week</t>
        </is>
      </c>
      <c r="D23" s="35" t="inlineStr">
        <is>
          <t>salad kit</t>
        </is>
      </c>
      <c r="E23" s="35" t="inlineStr">
        <is>
          <t>Chicken salad wrap</t>
        </is>
      </c>
      <c r="F23" s="35" t="inlineStr">
        <is>
          <t>Convenient but pricier</t>
        </is>
      </c>
      <c r="G23" s="35" t="inlineStr">
        <is>
          <t>Add chicken; use half dressing</t>
        </is>
      </c>
      <c r="H23" s="35" t="inlineStr">
        <is>
          <t>Spinach + cucumber</t>
        </is>
      </c>
    </row>
    <row r="24">
      <c r="A24" s="35" t="inlineStr">
        <is>
          <t>Vegetable</t>
        </is>
      </c>
      <c r="B24" s="35" t="inlineStr">
        <is>
          <t>Cucumbers/tomatoes/peppers/onions</t>
        </is>
      </c>
      <c r="C24" s="35" t="inlineStr">
        <is>
          <t>2–4 items/week</t>
        </is>
      </c>
      <c r="D24" s="35" t="inlineStr">
        <is>
          <t>cucumber tomato bell pepper onion</t>
        </is>
      </c>
      <c r="E24" s="35" t="inlineStr">
        <is>
          <t>Wraps/bowls</t>
        </is>
      </c>
      <c r="F24" s="35" t="inlineStr">
        <is>
          <t>Flavor + volume</t>
        </is>
      </c>
      <c r="G24" s="35" t="inlineStr">
        <is>
          <t>Chop twice/week</t>
        </is>
      </c>
      <c r="H24" s="35" t="inlineStr">
        <is>
          <t>Frozen peppers</t>
        </is>
      </c>
    </row>
    <row r="25">
      <c r="A25" s="35" t="inlineStr">
        <is>
          <t>Fat</t>
        </is>
      </c>
      <c r="B25" s="35" t="inlineStr">
        <is>
          <t>Olive oil</t>
        </is>
      </c>
      <c r="C25" s="35" t="inlineStr">
        <is>
          <t>1 bottle</t>
        </is>
      </c>
      <c r="D25" s="35" t="inlineStr">
        <is>
          <t>olive oil</t>
        </is>
      </c>
      <c r="E25" s="35" t="inlineStr">
        <is>
          <t>Cooking</t>
        </is>
      </c>
      <c r="F25" s="35" t="inlineStr">
        <is>
          <t>Measure it</t>
        </is>
      </c>
      <c r="G25" s="35" t="inlineStr">
        <is>
          <t>Use 1 tsp portions</t>
        </is>
      </c>
      <c r="H25" s="35" t="inlineStr">
        <is>
          <t>Cooking spray</t>
        </is>
      </c>
    </row>
    <row r="26">
      <c r="A26" s="35" t="inlineStr">
        <is>
          <t>Fat</t>
        </is>
      </c>
      <c r="B26" s="35" t="inlineStr">
        <is>
          <t>Peanut butter</t>
        </is>
      </c>
      <c r="C26" s="35" t="inlineStr">
        <is>
          <t>1 jar</t>
        </is>
      </c>
      <c r="D26" s="35" t="inlineStr">
        <is>
          <t>peanut butter</t>
        </is>
      </c>
      <c r="E26" s="35" t="inlineStr">
        <is>
          <t>Oats/yogurt</t>
        </is>
      </c>
      <c r="F26" s="35" t="inlineStr">
        <is>
          <t>Calorie dense</t>
        </is>
      </c>
      <c r="G26" s="35" t="inlineStr">
        <is>
          <t>Use 1 tbsp only</t>
        </is>
      </c>
      <c r="H26" s="35" t="inlineStr">
        <is>
          <t>PB powder</t>
        </is>
      </c>
    </row>
    <row r="27">
      <c r="A27" s="35" t="inlineStr">
        <is>
          <t>Fat</t>
        </is>
      </c>
      <c r="B27" s="35" t="inlineStr">
        <is>
          <t>Avocado</t>
        </is>
      </c>
      <c r="C27" s="35" t="inlineStr">
        <is>
          <t>1–2/week optional</t>
        </is>
      </c>
      <c r="D27" s="35" t="inlineStr">
        <is>
          <t>avocado</t>
        </is>
      </c>
      <c r="E27" s="35" t="inlineStr">
        <is>
          <t>Bowls/wraps</t>
        </is>
      </c>
      <c r="F27" s="35" t="inlineStr">
        <is>
          <t>Optional</t>
        </is>
      </c>
      <c r="G27" s="35" t="inlineStr">
        <is>
          <t>Use 1/2 at a time</t>
        </is>
      </c>
      <c r="H27" s="35" t="inlineStr">
        <is>
          <t>Olive oil</t>
        </is>
      </c>
    </row>
    <row r="28">
      <c r="A28" s="35" t="inlineStr">
        <is>
          <t>Condiment</t>
        </is>
      </c>
      <c r="B28" s="35" t="inlineStr">
        <is>
          <t>Salsa/hot sauce/mustard</t>
        </is>
      </c>
      <c r="C28" s="35" t="inlineStr">
        <is>
          <t>1 each as needed</t>
        </is>
      </c>
      <c r="D28" s="35" t="inlineStr">
        <is>
          <t>salsa, hot sauce, mustard</t>
        </is>
      </c>
      <c r="E28" s="35" t="inlineStr">
        <is>
          <t>Low-cal flavor</t>
        </is>
      </c>
      <c r="F28" s="35" t="inlineStr">
        <is>
          <t>Good for deficit</t>
        </is>
      </c>
      <c r="G28" s="35" t="inlineStr">
        <is>
          <t>Use freely if low calorie</t>
        </is>
      </c>
      <c r="H28" s="35" t="inlineStr">
        <is>
          <t>Spices</t>
        </is>
      </c>
    </row>
    <row r="29">
      <c r="A29" s="35" t="inlineStr">
        <is>
          <t>Condiment</t>
        </is>
      </c>
      <c r="B29" s="35" t="inlineStr">
        <is>
          <t>Marinara sauce</t>
        </is>
      </c>
      <c r="C29" s="35" t="inlineStr">
        <is>
          <t>1 jar/week</t>
        </is>
      </c>
      <c r="D29" s="35" t="inlineStr">
        <is>
          <t>marinara</t>
        </is>
      </c>
      <c r="E29" s="35" t="inlineStr">
        <is>
          <t>Turkey pasta</t>
        </is>
      </c>
      <c r="F29" s="35" t="inlineStr">
        <is>
          <t>Check calories</t>
        </is>
      </c>
      <c r="G29" s="35" t="inlineStr">
        <is>
          <t>Use measured 1/2 cup</t>
        </is>
      </c>
      <c r="H29" s="35" t="inlineStr">
        <is>
          <t>Tomato sauce</t>
        </is>
      </c>
    </row>
    <row r="30">
      <c r="A30" s="35" t="inlineStr">
        <is>
          <t>Prep</t>
        </is>
      </c>
      <c r="B30" s="35" t="inlineStr">
        <is>
          <t>Food containers</t>
        </is>
      </c>
      <c r="C30" s="35" t="inlineStr">
        <is>
          <t>4–6 containers</t>
        </is>
      </c>
      <c r="D30" s="35" t="inlineStr">
        <is>
          <t>meal prep containers</t>
        </is>
      </c>
      <c r="E30" s="35" t="inlineStr">
        <is>
          <t>Meal prep</t>
        </is>
      </c>
      <c r="F30" s="35" t="inlineStr">
        <is>
          <t>One-time purchase</t>
        </is>
      </c>
      <c r="G30" s="35" t="inlineStr">
        <is>
          <t>Portion lunches/dinners</t>
        </is>
      </c>
      <c r="H30" s="35" t="inlineStr">
        <is>
          <t>Reusable bowls</t>
        </is>
      </c>
    </row>
    <row r="34">
      <c r="A34" s="33" t="inlineStr">
        <is>
          <t>Sunday / Wednesday Prep Plan</t>
        </is>
      </c>
      <c r="B34" s="1" t="n"/>
      <c r="C34" s="1" t="n"/>
      <c r="D34" s="1" t="n"/>
      <c r="E34" s="1" t="n"/>
      <c r="F34" s="1" t="n"/>
      <c r="G34" s="1" t="n"/>
      <c r="H34" s="1" t="n"/>
    </row>
    <row r="35">
      <c r="A35" s="35" t="inlineStr">
        <is>
          <t>Sunday</t>
        </is>
      </c>
      <c r="B35" s="35" t="inlineStr">
        <is>
          <t>Cook 1.5 lb chicken, 1 lb turkey, 3–4 cups cooked rice, 4–6 boiled eggs, wash/chop vegetables.</t>
        </is>
      </c>
    </row>
    <row r="36">
      <c r="A36" s="35" t="inlineStr">
        <is>
          <t>Wednesday</t>
        </is>
      </c>
      <c r="B36" s="35" t="inlineStr">
        <is>
          <t>Cook the remaining chicken/fish, roast potatoes, restock yogurt/fruit if needed.</t>
        </is>
      </c>
    </row>
    <row r="37">
      <c r="A37" s="35" t="inlineStr">
        <is>
          <t>Daily</t>
        </is>
      </c>
      <c r="B37" s="35" t="inlineStr">
        <is>
          <t>Pack one high-protein snack before leaving the dorm so you do not buy random food.</t>
        </is>
      </c>
    </row>
    <row r="38">
      <c r="A38" s="35" t="inlineStr">
        <is>
          <t>Critical</t>
        </is>
      </c>
      <c r="B38" s="35" t="inlineStr">
        <is>
          <t>Measure oil, peanut butter, pasta, rice, nuts. Those are where hidden calories appear.</t>
        </is>
      </c>
    </row>
  </sheetData>
  <mergeCells count="2">
    <mergeCell ref="A1:H1"/>
    <mergeCell ref="A34:H34"/>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cols>
    <col width="12" customWidth="1" style="74" min="1" max="1"/>
    <col width="12" customWidth="1" style="74" min="2" max="2"/>
    <col width="12" customWidth="1" style="74" min="3" max="3"/>
    <col width="12" customWidth="1" style="74" min="4" max="4"/>
    <col width="12" customWidth="1" style="74" min="5" max="5"/>
    <col width="12" customWidth="1" style="74" min="6" max="6"/>
    <col width="12" customWidth="1" style="74" min="7" max="7"/>
    <col width="12" customWidth="1" style="74" min="8" max="8"/>
    <col width="12" customWidth="1" style="74" min="9" max="9"/>
    <col width="16" customWidth="1" style="74" min="10" max="10"/>
    <col width="12" customWidth="1" style="74" min="11" max="11"/>
    <col width="34" customWidth="1" style="74" min="12" max="12"/>
    <col width="22" customWidth="1" style="74" min="13" max="13"/>
    <col width="32" customWidth="1" style="74" min="14" max="14"/>
  </cols>
  <sheetData>
    <row r="1" ht="28" customHeight="1" s="74">
      <c r="A1" s="11" t="inlineStr">
        <is>
          <t>Daily Progress Tracker</t>
        </is>
      </c>
      <c r="B1" s="1" t="n"/>
      <c r="C1" s="1" t="n"/>
      <c r="D1" s="1" t="n"/>
      <c r="E1" s="1" t="n"/>
      <c r="F1" s="1" t="n"/>
      <c r="G1" s="1" t="n"/>
      <c r="H1" s="1" t="n"/>
      <c r="I1" s="1" t="n"/>
      <c r="J1" s="1" t="n"/>
      <c r="K1" s="1" t="n"/>
      <c r="L1" s="1" t="n"/>
      <c r="M1" s="109" t="inlineStr">
        <is>
          <t>Timing Check</t>
        </is>
      </c>
      <c r="N1" s="1" t="n"/>
    </row>
    <row r="2">
      <c r="A2" s="42" t="inlineStr">
        <is>
          <t>Date</t>
        </is>
      </c>
      <c r="B2" s="42" t="inlineStr">
        <is>
          <t>Day</t>
        </is>
      </c>
      <c r="C2" s="42" t="inlineStr">
        <is>
          <t>Weight kg</t>
        </is>
      </c>
      <c r="D2" s="42" t="inlineStr">
        <is>
          <t>Target kg</t>
        </is>
      </c>
      <c r="E2" s="42" t="inlineStr">
        <is>
          <t>Vs Target</t>
        </is>
      </c>
      <c r="F2" s="42" t="inlineStr">
        <is>
          <t>Calories</t>
        </is>
      </c>
      <c r="G2" s="42" t="inlineStr">
        <is>
          <t>Protein g</t>
        </is>
      </c>
      <c r="H2" s="42" t="inlineStr">
        <is>
          <t>Steps</t>
        </is>
      </c>
      <c r="I2" s="42" t="inlineStr">
        <is>
          <t>Cardio min</t>
        </is>
      </c>
      <c r="J2" s="42" t="inlineStr">
        <is>
          <t>Training Done</t>
        </is>
      </c>
      <c r="K2" s="42" t="inlineStr">
        <is>
          <t>Sleep hrs</t>
        </is>
      </c>
      <c r="L2" s="42" t="inlineStr">
        <is>
          <t>Notes</t>
        </is>
      </c>
      <c r="M2" s="101" t="inlineStr">
        <is>
          <t>Meal timing followed?</t>
        </is>
      </c>
      <c r="N2" s="101" t="inlineStr">
        <is>
          <t>Timing notes</t>
        </is>
      </c>
    </row>
    <row r="3">
      <c r="A3" s="106" t="n">
        <v>46189</v>
      </c>
      <c r="B3" s="35" t="inlineStr">
        <is>
          <t>Tuesday</t>
        </is>
      </c>
      <c r="C3" s="104" t="str"/>
      <c r="D3" s="104" t="n">
        <v>67</v>
      </c>
      <c r="E3" s="104">
        <f>IF(C3="","",C3-D3)</f>
        <v/>
      </c>
      <c r="F3" s="107" t="str"/>
      <c r="G3" s="107" t="str"/>
      <c r="H3" s="107" t="str"/>
      <c r="I3" s="107" t="str"/>
      <c r="J3" s="107" t="str"/>
      <c r="K3" s="107" t="str"/>
      <c r="L3" s="35" t="str"/>
      <c r="M3" s="34" t="str"/>
      <c r="N3" s="34" t="str"/>
    </row>
    <row r="4">
      <c r="A4" s="106" t="n">
        <v>46190</v>
      </c>
      <c r="B4" s="35" t="inlineStr">
        <is>
          <t>Wednesday</t>
        </is>
      </c>
      <c r="C4" s="104" t="str"/>
      <c r="D4" s="104" t="n">
        <v>66.93000000000001</v>
      </c>
      <c r="E4" s="104">
        <f>IF(C4="","",C4-D4)</f>
        <v/>
      </c>
      <c r="F4" s="107" t="str"/>
      <c r="G4" s="107" t="str"/>
      <c r="H4" s="107" t="str"/>
      <c r="I4" s="107" t="str"/>
      <c r="J4" s="107" t="str"/>
      <c r="K4" s="107" t="str"/>
      <c r="L4" s="35" t="str"/>
      <c r="M4" s="34" t="str"/>
      <c r="N4" s="34" t="str"/>
    </row>
    <row r="5">
      <c r="A5" s="106" t="n">
        <v>46191</v>
      </c>
      <c r="B5" s="35" t="inlineStr">
        <is>
          <t>Thursday</t>
        </is>
      </c>
      <c r="C5" s="104" t="str"/>
      <c r="D5" s="104" t="n">
        <v>66.84999999999999</v>
      </c>
      <c r="E5" s="104">
        <f>IF(C5="","",C5-D5)</f>
        <v/>
      </c>
      <c r="F5" s="107" t="str"/>
      <c r="G5" s="107" t="str"/>
      <c r="H5" s="107" t="str"/>
      <c r="I5" s="107" t="str"/>
      <c r="J5" s="107" t="str"/>
      <c r="K5" s="107" t="str"/>
      <c r="L5" s="35" t="str"/>
      <c r="M5" s="34" t="str"/>
      <c r="N5" s="34" t="str"/>
    </row>
    <row r="6">
      <c r="A6" s="106" t="n">
        <v>46192</v>
      </c>
      <c r="B6" s="35" t="inlineStr">
        <is>
          <t>Friday</t>
        </is>
      </c>
      <c r="C6" s="104" t="str"/>
      <c r="D6" s="104" t="n">
        <v>66.78</v>
      </c>
      <c r="E6" s="104">
        <f>IF(C6="","",C6-D6)</f>
        <v/>
      </c>
      <c r="F6" s="107" t="str"/>
      <c r="G6" s="107" t="str"/>
      <c r="H6" s="107" t="str"/>
      <c r="I6" s="107" t="str"/>
      <c r="J6" s="107" t="str"/>
      <c r="K6" s="107" t="str"/>
      <c r="L6" s="35" t="str"/>
      <c r="M6" s="34" t="str"/>
      <c r="N6" s="34" t="str"/>
    </row>
    <row r="7">
      <c r="A7" s="106" t="n">
        <v>46193</v>
      </c>
      <c r="B7" s="35" t="inlineStr">
        <is>
          <t>Saturday</t>
        </is>
      </c>
      <c r="C7" s="104" t="str"/>
      <c r="D7" s="104" t="n">
        <v>66.70999999999999</v>
      </c>
      <c r="E7" s="104">
        <f>IF(C7="","",C7-D7)</f>
        <v/>
      </c>
      <c r="F7" s="107" t="str"/>
      <c r="G7" s="107" t="str"/>
      <c r="H7" s="107" t="str"/>
      <c r="I7" s="107" t="str"/>
      <c r="J7" s="107" t="str"/>
      <c r="K7" s="107" t="str"/>
      <c r="L7" s="35" t="str"/>
      <c r="M7" s="34" t="str"/>
      <c r="N7" s="34" t="str"/>
    </row>
    <row r="8">
      <c r="A8" s="106" t="n">
        <v>46194</v>
      </c>
      <c r="B8" s="35" t="inlineStr">
        <is>
          <t>Sunday</t>
        </is>
      </c>
      <c r="C8" s="104" t="str"/>
      <c r="D8" s="104" t="n">
        <v>66.64</v>
      </c>
      <c r="E8" s="104">
        <f>IF(C8="","",C8-D8)</f>
        <v/>
      </c>
      <c r="F8" s="107" t="str"/>
      <c r="G8" s="107" t="str"/>
      <c r="H8" s="107" t="str"/>
      <c r="I8" s="107" t="str"/>
      <c r="J8" s="107" t="str"/>
      <c r="K8" s="107" t="str"/>
      <c r="L8" s="35" t="str"/>
      <c r="M8" s="34" t="str"/>
      <c r="N8" s="34" t="str"/>
    </row>
    <row r="9">
      <c r="A9" s="106" t="n">
        <v>46195</v>
      </c>
      <c r="B9" s="35" t="inlineStr">
        <is>
          <t>Monday</t>
        </is>
      </c>
      <c r="C9" s="104" t="str"/>
      <c r="D9" s="104" t="n">
        <v>66.56</v>
      </c>
      <c r="E9" s="104">
        <f>IF(C9="","",C9-D9)</f>
        <v/>
      </c>
      <c r="F9" s="107" t="str"/>
      <c r="G9" s="107" t="str"/>
      <c r="H9" s="107" t="str"/>
      <c r="I9" s="107" t="str"/>
      <c r="J9" s="107" t="str"/>
      <c r="K9" s="107" t="str"/>
      <c r="L9" s="35" t="str"/>
      <c r="M9" s="34" t="str"/>
      <c r="N9" s="34" t="str"/>
    </row>
    <row r="10">
      <c r="A10" s="106" t="n">
        <v>46196</v>
      </c>
      <c r="B10" s="35" t="inlineStr">
        <is>
          <t>Tuesday</t>
        </is>
      </c>
      <c r="C10" s="104" t="str"/>
      <c r="D10" s="104" t="n">
        <v>66.48999999999999</v>
      </c>
      <c r="E10" s="104">
        <f>IF(C10="","",C10-D10)</f>
        <v/>
      </c>
      <c r="F10" s="107" t="str"/>
      <c r="G10" s="107" t="str"/>
      <c r="H10" s="107" t="str"/>
      <c r="I10" s="107" t="str"/>
      <c r="J10" s="107" t="str"/>
      <c r="K10" s="107" t="str"/>
      <c r="L10" s="35" t="str"/>
      <c r="M10" s="34" t="str"/>
      <c r="N10" s="34" t="str"/>
    </row>
    <row r="11">
      <c r="A11" s="106" t="n">
        <v>46197</v>
      </c>
      <c r="B11" s="35" t="inlineStr">
        <is>
          <t>Wednesday</t>
        </is>
      </c>
      <c r="C11" s="104" t="str"/>
      <c r="D11" s="104" t="n">
        <v>66.42</v>
      </c>
      <c r="E11" s="104">
        <f>IF(C11="","",C11-D11)</f>
        <v/>
      </c>
      <c r="F11" s="107" t="str"/>
      <c r="G11" s="107" t="str"/>
      <c r="H11" s="107" t="str"/>
      <c r="I11" s="107" t="str"/>
      <c r="J11" s="107" t="str"/>
      <c r="K11" s="107" t="str"/>
      <c r="L11" s="35" t="str"/>
      <c r="M11" s="34" t="str"/>
      <c r="N11" s="34" t="str"/>
    </row>
    <row r="12">
      <c r="A12" s="106" t="n">
        <v>46198</v>
      </c>
      <c r="B12" s="35" t="inlineStr">
        <is>
          <t>Thursday</t>
        </is>
      </c>
      <c r="C12" s="104" t="str"/>
      <c r="D12" s="104" t="n">
        <v>66.34999999999999</v>
      </c>
      <c r="E12" s="104">
        <f>IF(C12="","",C12-D12)</f>
        <v/>
      </c>
      <c r="F12" s="107" t="str"/>
      <c r="G12" s="107" t="str"/>
      <c r="H12" s="107" t="str"/>
      <c r="I12" s="107" t="str"/>
      <c r="J12" s="107" t="str"/>
      <c r="K12" s="107" t="str"/>
      <c r="L12" s="35" t="str"/>
      <c r="M12" s="34" t="str"/>
      <c r="N12" s="34" t="str"/>
    </row>
    <row r="13">
      <c r="A13" s="106" t="n">
        <v>46199</v>
      </c>
      <c r="B13" s="35" t="inlineStr">
        <is>
          <t>Friday</t>
        </is>
      </c>
      <c r="C13" s="104" t="str"/>
      <c r="D13" s="104" t="n">
        <v>66.27</v>
      </c>
      <c r="E13" s="104">
        <f>IF(C13="","",C13-D13)</f>
        <v/>
      </c>
      <c r="F13" s="107" t="str"/>
      <c r="G13" s="107" t="str"/>
      <c r="H13" s="107" t="str"/>
      <c r="I13" s="107" t="str"/>
      <c r="J13" s="107" t="str"/>
      <c r="K13" s="107" t="str"/>
      <c r="L13" s="35" t="str"/>
      <c r="M13" s="34" t="str"/>
      <c r="N13" s="34" t="str"/>
    </row>
    <row r="14">
      <c r="A14" s="106" t="n">
        <v>46200</v>
      </c>
      <c r="B14" s="35" t="inlineStr">
        <is>
          <t>Saturday</t>
        </is>
      </c>
      <c r="C14" s="104" t="str"/>
      <c r="D14" s="104" t="n">
        <v>66.2</v>
      </c>
      <c r="E14" s="104">
        <f>IF(C14="","",C14-D14)</f>
        <v/>
      </c>
      <c r="F14" s="107" t="str"/>
      <c r="G14" s="107" t="str"/>
      <c r="H14" s="107" t="str"/>
      <c r="I14" s="107" t="str"/>
      <c r="J14" s="107" t="str"/>
      <c r="K14" s="107" t="str"/>
      <c r="L14" s="35" t="str"/>
      <c r="M14" s="34" t="str"/>
      <c r="N14" s="34" t="str"/>
    </row>
    <row r="15">
      <c r="A15" s="106" t="n">
        <v>46201</v>
      </c>
      <c r="B15" s="35" t="inlineStr">
        <is>
          <t>Sunday</t>
        </is>
      </c>
      <c r="C15" s="104" t="str"/>
      <c r="D15" s="104" t="n">
        <v>66.13</v>
      </c>
      <c r="E15" s="104">
        <f>IF(C15="","",C15-D15)</f>
        <v/>
      </c>
      <c r="F15" s="107" t="str"/>
      <c r="G15" s="107" t="str"/>
      <c r="H15" s="107" t="str"/>
      <c r="I15" s="107" t="str"/>
      <c r="J15" s="107" t="str"/>
      <c r="K15" s="107" t="str"/>
      <c r="L15" s="35" t="str"/>
      <c r="M15" s="34" t="str"/>
      <c r="N15" s="34" t="str"/>
    </row>
    <row r="16">
      <c r="A16" s="106" t="n">
        <v>46202</v>
      </c>
      <c r="B16" s="35" t="inlineStr">
        <is>
          <t>Monday</t>
        </is>
      </c>
      <c r="C16" s="104" t="str"/>
      <c r="D16" s="104" t="n">
        <v>66.05</v>
      </c>
      <c r="E16" s="104">
        <f>IF(C16="","",C16-D16)</f>
        <v/>
      </c>
      <c r="F16" s="107" t="str"/>
      <c r="G16" s="107" t="str"/>
      <c r="H16" s="107" t="str"/>
      <c r="I16" s="107" t="str"/>
      <c r="J16" s="107" t="str"/>
      <c r="K16" s="107" t="str"/>
      <c r="L16" s="35" t="str"/>
      <c r="M16" s="34" t="str"/>
      <c r="N16" s="34" t="str"/>
    </row>
    <row r="17">
      <c r="A17" s="106" t="n">
        <v>46203</v>
      </c>
      <c r="B17" s="35" t="inlineStr">
        <is>
          <t>Tuesday</t>
        </is>
      </c>
      <c r="C17" s="104" t="str"/>
      <c r="D17" s="104" t="n">
        <v>65.98</v>
      </c>
      <c r="E17" s="104">
        <f>IF(C17="","",C17-D17)</f>
        <v/>
      </c>
      <c r="F17" s="107" t="str"/>
      <c r="G17" s="107" t="str"/>
      <c r="H17" s="107" t="str"/>
      <c r="I17" s="107" t="str"/>
      <c r="J17" s="107" t="str"/>
      <c r="K17" s="107" t="str"/>
      <c r="L17" s="35" t="str"/>
      <c r="M17" s="34" t="str"/>
      <c r="N17" s="34" t="str"/>
    </row>
    <row r="18">
      <c r="A18" s="106" t="n">
        <v>46204</v>
      </c>
      <c r="B18" s="35" t="inlineStr">
        <is>
          <t>Wednesday</t>
        </is>
      </c>
      <c r="C18" s="104" t="str"/>
      <c r="D18" s="104" t="n">
        <v>65.91</v>
      </c>
      <c r="E18" s="104">
        <f>IF(C18="","",C18-D18)</f>
        <v/>
      </c>
      <c r="F18" s="107" t="str"/>
      <c r="G18" s="107" t="str"/>
      <c r="H18" s="107" t="str"/>
      <c r="I18" s="107" t="str"/>
      <c r="J18" s="107" t="str"/>
      <c r="K18" s="107" t="str"/>
      <c r="L18" s="35" t="str"/>
      <c r="M18" s="34" t="str"/>
      <c r="N18" s="34" t="str"/>
    </row>
    <row r="19">
      <c r="A19" s="106" t="n">
        <v>46205</v>
      </c>
      <c r="B19" s="35" t="inlineStr">
        <is>
          <t>Thursday</t>
        </is>
      </c>
      <c r="C19" s="104" t="str"/>
      <c r="D19" s="104" t="n">
        <v>65.84</v>
      </c>
      <c r="E19" s="104">
        <f>IF(C19="","",C19-D19)</f>
        <v/>
      </c>
      <c r="F19" s="107" t="str"/>
      <c r="G19" s="107" t="str"/>
      <c r="H19" s="107" t="str"/>
      <c r="I19" s="107" t="str"/>
      <c r="J19" s="107" t="str"/>
      <c r="K19" s="107" t="str"/>
      <c r="L19" s="35" t="str"/>
      <c r="M19" s="34" t="str"/>
      <c r="N19" s="34" t="str"/>
    </row>
    <row r="20">
      <c r="A20" s="106" t="n">
        <v>46206</v>
      </c>
      <c r="B20" s="35" t="inlineStr">
        <is>
          <t>Friday</t>
        </is>
      </c>
      <c r="C20" s="104" t="str"/>
      <c r="D20" s="104" t="n">
        <v>65.76000000000001</v>
      </c>
      <c r="E20" s="104">
        <f>IF(C20="","",C20-D20)</f>
        <v/>
      </c>
      <c r="F20" s="107" t="str"/>
      <c r="G20" s="107" t="str"/>
      <c r="H20" s="107" t="str"/>
      <c r="I20" s="107" t="str"/>
      <c r="J20" s="107" t="str"/>
      <c r="K20" s="107" t="str"/>
      <c r="L20" s="35" t="str"/>
      <c r="M20" s="34" t="str"/>
      <c r="N20" s="34" t="str"/>
    </row>
    <row r="21">
      <c r="A21" s="106" t="n">
        <v>46207</v>
      </c>
      <c r="B21" s="35" t="inlineStr">
        <is>
          <t>Saturday</t>
        </is>
      </c>
      <c r="C21" s="104" t="str"/>
      <c r="D21" s="104" t="n">
        <v>65.69</v>
      </c>
      <c r="E21" s="104">
        <f>IF(C21="","",C21-D21)</f>
        <v/>
      </c>
      <c r="F21" s="107" t="str"/>
      <c r="G21" s="107" t="str"/>
      <c r="H21" s="107" t="str"/>
      <c r="I21" s="107" t="str"/>
      <c r="J21" s="107" t="str"/>
      <c r="K21" s="107" t="str"/>
      <c r="L21" s="35" t="str"/>
      <c r="M21" s="34" t="str"/>
      <c r="N21" s="34" t="str"/>
    </row>
    <row r="22">
      <c r="A22" s="106" t="n">
        <v>46208</v>
      </c>
      <c r="B22" s="35" t="inlineStr">
        <is>
          <t>Sunday</t>
        </is>
      </c>
      <c r="C22" s="104" t="str"/>
      <c r="D22" s="104" t="n">
        <v>65.62</v>
      </c>
      <c r="E22" s="104">
        <f>IF(C22="","",C22-D22)</f>
        <v/>
      </c>
      <c r="F22" s="107" t="str"/>
      <c r="G22" s="107" t="str"/>
      <c r="H22" s="107" t="str"/>
      <c r="I22" s="107" t="str"/>
      <c r="J22" s="107" t="str"/>
      <c r="K22" s="107" t="str"/>
      <c r="L22" s="35" t="str"/>
      <c r="M22" s="34" t="str"/>
      <c r="N22" s="34" t="str"/>
    </row>
    <row r="23">
      <c r="A23" s="106" t="n">
        <v>46209</v>
      </c>
      <c r="B23" s="35" t="inlineStr">
        <is>
          <t>Monday</t>
        </is>
      </c>
      <c r="C23" s="104" t="str"/>
      <c r="D23" s="104" t="n">
        <v>65.55</v>
      </c>
      <c r="E23" s="104">
        <f>IF(C23="","",C23-D23)</f>
        <v/>
      </c>
      <c r="F23" s="107" t="str"/>
      <c r="G23" s="107" t="str"/>
      <c r="H23" s="107" t="str"/>
      <c r="I23" s="107" t="str"/>
      <c r="J23" s="107" t="str"/>
      <c r="K23" s="107" t="str"/>
      <c r="L23" s="35" t="str"/>
      <c r="M23" s="34" t="str"/>
      <c r="N23" s="34" t="str"/>
    </row>
    <row r="24">
      <c r="A24" s="106" t="n">
        <v>46210</v>
      </c>
      <c r="B24" s="35" t="inlineStr">
        <is>
          <t>Tuesday</t>
        </is>
      </c>
      <c r="C24" s="104" t="str"/>
      <c r="D24" s="104" t="n">
        <v>65.47</v>
      </c>
      <c r="E24" s="104">
        <f>IF(C24="","",C24-D24)</f>
        <v/>
      </c>
      <c r="F24" s="107" t="str"/>
      <c r="G24" s="107" t="str"/>
      <c r="H24" s="107" t="str"/>
      <c r="I24" s="107" t="str"/>
      <c r="J24" s="107" t="str"/>
      <c r="K24" s="107" t="str"/>
      <c r="L24" s="35" t="str"/>
      <c r="M24" s="34" t="str"/>
      <c r="N24" s="34" t="str"/>
    </row>
    <row r="25">
      <c r="A25" s="106" t="n">
        <v>46211</v>
      </c>
      <c r="B25" s="35" t="inlineStr">
        <is>
          <t>Wednesday</t>
        </is>
      </c>
      <c r="C25" s="104" t="str"/>
      <c r="D25" s="104" t="n">
        <v>65.40000000000001</v>
      </c>
      <c r="E25" s="104">
        <f>IF(C25="","",C25-D25)</f>
        <v/>
      </c>
      <c r="F25" s="107" t="str"/>
      <c r="G25" s="107" t="str"/>
      <c r="H25" s="107" t="str"/>
      <c r="I25" s="107" t="str"/>
      <c r="J25" s="107" t="str"/>
      <c r="K25" s="107" t="str"/>
      <c r="L25" s="35" t="str"/>
      <c r="M25" s="34" t="str"/>
      <c r="N25" s="34" t="str"/>
    </row>
    <row r="26">
      <c r="A26" s="106" t="n">
        <v>46212</v>
      </c>
      <c r="B26" s="35" t="inlineStr">
        <is>
          <t>Thursday</t>
        </is>
      </c>
      <c r="C26" s="104" t="str"/>
      <c r="D26" s="104" t="n">
        <v>65.33</v>
      </c>
      <c r="E26" s="104">
        <f>IF(C26="","",C26-D26)</f>
        <v/>
      </c>
      <c r="F26" s="107" t="str"/>
      <c r="G26" s="107" t="str"/>
      <c r="H26" s="107" t="str"/>
      <c r="I26" s="107" t="str"/>
      <c r="J26" s="107" t="str"/>
      <c r="K26" s="107" t="str"/>
      <c r="L26" s="35" t="str"/>
      <c r="M26" s="34" t="str"/>
      <c r="N26" s="34" t="str"/>
    </row>
    <row r="27">
      <c r="A27" s="106" t="n">
        <v>46213</v>
      </c>
      <c r="B27" s="35" t="inlineStr">
        <is>
          <t>Friday</t>
        </is>
      </c>
      <c r="C27" s="104" t="str"/>
      <c r="D27" s="104" t="n">
        <v>65.25</v>
      </c>
      <c r="E27" s="104">
        <f>IF(C27="","",C27-D27)</f>
        <v/>
      </c>
      <c r="F27" s="107" t="str"/>
      <c r="G27" s="107" t="str"/>
      <c r="H27" s="107" t="str"/>
      <c r="I27" s="107" t="str"/>
      <c r="J27" s="107" t="str"/>
      <c r="K27" s="107" t="str"/>
      <c r="L27" s="35" t="str"/>
      <c r="M27" s="34" t="str"/>
      <c r="N27" s="34" t="str"/>
    </row>
    <row r="28">
      <c r="A28" s="106" t="n">
        <v>46214</v>
      </c>
      <c r="B28" s="35" t="inlineStr">
        <is>
          <t>Saturday</t>
        </is>
      </c>
      <c r="C28" s="104" t="str"/>
      <c r="D28" s="104" t="n">
        <v>65.18000000000001</v>
      </c>
      <c r="E28" s="104">
        <f>IF(C28="","",C28-D28)</f>
        <v/>
      </c>
      <c r="F28" s="107" t="str"/>
      <c r="G28" s="107" t="str"/>
      <c r="H28" s="107" t="str"/>
      <c r="I28" s="107" t="str"/>
      <c r="J28" s="107" t="str"/>
      <c r="K28" s="107" t="str"/>
      <c r="L28" s="35" t="str"/>
      <c r="M28" s="34" t="str"/>
      <c r="N28" s="34" t="str"/>
    </row>
    <row r="29">
      <c r="A29" s="106" t="n">
        <v>46215</v>
      </c>
      <c r="B29" s="35" t="inlineStr">
        <is>
          <t>Sunday</t>
        </is>
      </c>
      <c r="C29" s="104" t="str"/>
      <c r="D29" s="104" t="n">
        <v>65.11</v>
      </c>
      <c r="E29" s="104">
        <f>IF(C29="","",C29-D29)</f>
        <v/>
      </c>
      <c r="F29" s="107" t="str"/>
      <c r="G29" s="107" t="str"/>
      <c r="H29" s="107" t="str"/>
      <c r="I29" s="107" t="str"/>
      <c r="J29" s="107" t="str"/>
      <c r="K29" s="107" t="str"/>
      <c r="L29" s="35" t="str"/>
      <c r="M29" s="34" t="str"/>
      <c r="N29" s="34" t="str"/>
    </row>
    <row r="30">
      <c r="A30" s="106" t="n">
        <v>46216</v>
      </c>
      <c r="B30" s="35" t="inlineStr">
        <is>
          <t>Monday</t>
        </is>
      </c>
      <c r="C30" s="104" t="str"/>
      <c r="D30" s="104" t="n">
        <v>65.04000000000001</v>
      </c>
      <c r="E30" s="104">
        <f>IF(C30="","",C30-D30)</f>
        <v/>
      </c>
      <c r="F30" s="107" t="str"/>
      <c r="G30" s="107" t="str"/>
      <c r="H30" s="107" t="str"/>
      <c r="I30" s="107" t="str"/>
      <c r="J30" s="107" t="str"/>
      <c r="K30" s="107" t="str"/>
      <c r="L30" s="35" t="str"/>
      <c r="M30" s="34" t="str"/>
      <c r="N30" s="34" t="str"/>
    </row>
    <row r="31">
      <c r="A31" s="106" t="n">
        <v>46217</v>
      </c>
      <c r="B31" s="35" t="inlineStr">
        <is>
          <t>Tuesday</t>
        </is>
      </c>
      <c r="C31" s="104" t="str"/>
      <c r="D31" s="104" t="n">
        <v>64.95999999999999</v>
      </c>
      <c r="E31" s="104">
        <f>IF(C31="","",C31-D31)</f>
        <v/>
      </c>
      <c r="F31" s="107" t="str"/>
      <c r="G31" s="107" t="str"/>
      <c r="H31" s="107" t="str"/>
      <c r="I31" s="107" t="str"/>
      <c r="J31" s="107" t="str"/>
      <c r="K31" s="107" t="str"/>
      <c r="L31" s="35" t="str"/>
      <c r="M31" s="34" t="str"/>
      <c r="N31" s="34" t="str"/>
    </row>
    <row r="32">
      <c r="A32" s="106" t="n">
        <v>46218</v>
      </c>
      <c r="B32" s="35" t="inlineStr">
        <is>
          <t>Wednesday</t>
        </is>
      </c>
      <c r="C32" s="104" t="str"/>
      <c r="D32" s="104" t="n">
        <v>64.89</v>
      </c>
      <c r="E32" s="104">
        <f>IF(C32="","",C32-D32)</f>
        <v/>
      </c>
      <c r="F32" s="107" t="str"/>
      <c r="G32" s="107" t="str"/>
      <c r="H32" s="107" t="str"/>
      <c r="I32" s="107" t="str"/>
      <c r="J32" s="107" t="str"/>
      <c r="K32" s="107" t="str"/>
      <c r="L32" s="35" t="str"/>
      <c r="M32" s="34" t="str"/>
      <c r="N32" s="34" t="str"/>
    </row>
    <row r="33">
      <c r="A33" s="106" t="n">
        <v>46219</v>
      </c>
      <c r="B33" s="35" t="inlineStr">
        <is>
          <t>Thursday</t>
        </is>
      </c>
      <c r="C33" s="104" t="str"/>
      <c r="D33" s="104" t="n">
        <v>64.81999999999999</v>
      </c>
      <c r="E33" s="104">
        <f>IF(C33="","",C33-D33)</f>
        <v/>
      </c>
      <c r="F33" s="107" t="str"/>
      <c r="G33" s="107" t="str"/>
      <c r="H33" s="107" t="str"/>
      <c r="I33" s="107" t="str"/>
      <c r="J33" s="107" t="str"/>
      <c r="K33" s="107" t="str"/>
      <c r="L33" s="35" t="str"/>
      <c r="M33" s="34" t="str"/>
      <c r="N33" s="34" t="str"/>
    </row>
    <row r="34">
      <c r="A34" s="106" t="n">
        <v>46220</v>
      </c>
      <c r="B34" s="35" t="inlineStr">
        <is>
          <t>Friday</t>
        </is>
      </c>
      <c r="C34" s="104" t="str"/>
      <c r="D34" s="104" t="n">
        <v>64.75</v>
      </c>
      <c r="E34" s="104">
        <f>IF(C34="","",C34-D34)</f>
        <v/>
      </c>
      <c r="F34" s="107" t="str"/>
      <c r="G34" s="107" t="str"/>
      <c r="H34" s="107" t="str"/>
      <c r="I34" s="107" t="str"/>
      <c r="J34" s="107" t="str"/>
      <c r="K34" s="107" t="str"/>
      <c r="L34" s="35" t="str"/>
      <c r="M34" s="34" t="str"/>
      <c r="N34" s="34" t="str"/>
    </row>
    <row r="35">
      <c r="A35" s="106" t="n">
        <v>46221</v>
      </c>
      <c r="B35" s="35" t="inlineStr">
        <is>
          <t>Saturday</t>
        </is>
      </c>
      <c r="C35" s="104" t="str"/>
      <c r="D35" s="104" t="n">
        <v>64.67</v>
      </c>
      <c r="E35" s="104">
        <f>IF(C35="","",C35-D35)</f>
        <v/>
      </c>
      <c r="F35" s="107" t="str"/>
      <c r="G35" s="107" t="str"/>
      <c r="H35" s="107" t="str"/>
      <c r="I35" s="107" t="str"/>
      <c r="J35" s="107" t="str"/>
      <c r="K35" s="107" t="str"/>
      <c r="L35" s="35" t="str"/>
      <c r="M35" s="34" t="str"/>
      <c r="N35" s="34" t="str"/>
    </row>
    <row r="36">
      <c r="A36" s="106" t="n">
        <v>46222</v>
      </c>
      <c r="B36" s="35" t="inlineStr">
        <is>
          <t>Sunday</t>
        </is>
      </c>
      <c r="C36" s="104" t="str"/>
      <c r="D36" s="104" t="n">
        <v>64.59999999999999</v>
      </c>
      <c r="E36" s="104">
        <f>IF(C36="","",C36-D36)</f>
        <v/>
      </c>
      <c r="F36" s="107" t="str"/>
      <c r="G36" s="107" t="str"/>
      <c r="H36" s="107" t="str"/>
      <c r="I36" s="107" t="str"/>
      <c r="J36" s="107" t="str"/>
      <c r="K36" s="107" t="str"/>
      <c r="L36" s="35" t="str"/>
      <c r="M36" s="34" t="str"/>
      <c r="N36" s="34" t="str"/>
    </row>
    <row r="37">
      <c r="A37" s="106" t="n">
        <v>46223</v>
      </c>
      <c r="B37" s="35" t="inlineStr">
        <is>
          <t>Monday</t>
        </is>
      </c>
      <c r="C37" s="104" t="str"/>
      <c r="D37" s="104" t="n">
        <v>64.53</v>
      </c>
      <c r="E37" s="104">
        <f>IF(C37="","",C37-D37)</f>
        <v/>
      </c>
      <c r="F37" s="107" t="str"/>
      <c r="G37" s="107" t="str"/>
      <c r="H37" s="107" t="str"/>
      <c r="I37" s="107" t="str"/>
      <c r="J37" s="107" t="str"/>
      <c r="K37" s="107" t="str"/>
      <c r="L37" s="35" t="str"/>
      <c r="M37" s="34" t="str"/>
      <c r="N37" s="34" t="str"/>
    </row>
    <row r="38">
      <c r="A38" s="106" t="n">
        <v>46224</v>
      </c>
      <c r="B38" s="35" t="inlineStr">
        <is>
          <t>Tuesday</t>
        </is>
      </c>
      <c r="C38" s="104" t="str"/>
      <c r="D38" s="104" t="n">
        <v>64.45</v>
      </c>
      <c r="E38" s="104">
        <f>IF(C38="","",C38-D38)</f>
        <v/>
      </c>
      <c r="F38" s="107" t="str"/>
      <c r="G38" s="107" t="str"/>
      <c r="H38" s="107" t="str"/>
      <c r="I38" s="107" t="str"/>
      <c r="J38" s="107" t="str"/>
      <c r="K38" s="107" t="str"/>
      <c r="L38" s="35" t="str"/>
      <c r="M38" s="34" t="str"/>
      <c r="N38" s="34" t="str"/>
    </row>
    <row r="39">
      <c r="A39" s="106" t="n">
        <v>46225</v>
      </c>
      <c r="B39" s="35" t="inlineStr">
        <is>
          <t>Wednesday</t>
        </is>
      </c>
      <c r="C39" s="104" t="str"/>
      <c r="D39" s="104" t="n">
        <v>64.38</v>
      </c>
      <c r="E39" s="104">
        <f>IF(C39="","",C39-D39)</f>
        <v/>
      </c>
      <c r="F39" s="107" t="str"/>
      <c r="G39" s="107" t="str"/>
      <c r="H39" s="107" t="str"/>
      <c r="I39" s="107" t="str"/>
      <c r="J39" s="107" t="str"/>
      <c r="K39" s="107" t="str"/>
      <c r="L39" s="35" t="str"/>
      <c r="M39" s="34" t="str"/>
      <c r="N39" s="34" t="str"/>
    </row>
    <row r="40">
      <c r="A40" s="106" t="n">
        <v>46226</v>
      </c>
      <c r="B40" s="35" t="inlineStr">
        <is>
          <t>Thursday</t>
        </is>
      </c>
      <c r="C40" s="104" t="str"/>
      <c r="D40" s="104" t="n">
        <v>64.31</v>
      </c>
      <c r="E40" s="104">
        <f>IF(C40="","",C40-D40)</f>
        <v/>
      </c>
      <c r="F40" s="107" t="str"/>
      <c r="G40" s="107" t="str"/>
      <c r="H40" s="107" t="str"/>
      <c r="I40" s="107" t="str"/>
      <c r="J40" s="107" t="str"/>
      <c r="K40" s="107" t="str"/>
      <c r="L40" s="35" t="str"/>
      <c r="M40" s="34" t="str"/>
      <c r="N40" s="34" t="str"/>
    </row>
    <row r="41">
      <c r="A41" s="106" t="n">
        <v>46227</v>
      </c>
      <c r="B41" s="35" t="inlineStr">
        <is>
          <t>Friday</t>
        </is>
      </c>
      <c r="C41" s="104" t="str"/>
      <c r="D41" s="104" t="n">
        <v>64.23999999999999</v>
      </c>
      <c r="E41" s="104">
        <f>IF(C41="","",C41-D41)</f>
        <v/>
      </c>
      <c r="F41" s="107" t="str"/>
      <c r="G41" s="107" t="str"/>
      <c r="H41" s="107" t="str"/>
      <c r="I41" s="107" t="str"/>
      <c r="J41" s="107" t="str"/>
      <c r="K41" s="107" t="str"/>
      <c r="L41" s="35" t="str"/>
      <c r="M41" s="34" t="str"/>
      <c r="N41" s="34" t="str"/>
    </row>
    <row r="42">
      <c r="A42" s="106" t="n">
        <v>46228</v>
      </c>
      <c r="B42" s="35" t="inlineStr">
        <is>
          <t>Saturday</t>
        </is>
      </c>
      <c r="C42" s="104" t="str"/>
      <c r="D42" s="104" t="n">
        <v>64.16</v>
      </c>
      <c r="E42" s="104">
        <f>IF(C42="","",C42-D42)</f>
        <v/>
      </c>
      <c r="F42" s="107" t="str"/>
      <c r="G42" s="107" t="str"/>
      <c r="H42" s="107" t="str"/>
      <c r="I42" s="107" t="str"/>
      <c r="J42" s="107" t="str"/>
      <c r="K42" s="107" t="str"/>
      <c r="L42" s="35" t="str"/>
      <c r="M42" s="34" t="str"/>
      <c r="N42" s="34" t="str"/>
    </row>
    <row r="43">
      <c r="A43" s="106" t="n">
        <v>46229</v>
      </c>
      <c r="B43" s="35" t="inlineStr">
        <is>
          <t>Sunday</t>
        </is>
      </c>
      <c r="C43" s="104" t="str"/>
      <c r="D43" s="104" t="n">
        <v>64.09</v>
      </c>
      <c r="E43" s="104">
        <f>IF(C43="","",C43-D43)</f>
        <v/>
      </c>
      <c r="F43" s="107" t="str"/>
      <c r="G43" s="107" t="str"/>
      <c r="H43" s="107" t="str"/>
      <c r="I43" s="107" t="str"/>
      <c r="J43" s="107" t="str"/>
      <c r="K43" s="107" t="str"/>
      <c r="L43" s="35" t="str"/>
      <c r="M43" s="34" t="str"/>
      <c r="N43" s="34" t="str"/>
    </row>
    <row r="44">
      <c r="A44" s="106" t="n">
        <v>46230</v>
      </c>
      <c r="B44" s="35" t="inlineStr">
        <is>
          <t>Monday</t>
        </is>
      </c>
      <c r="C44" s="104" t="str"/>
      <c r="D44" s="104" t="n">
        <v>64.02</v>
      </c>
      <c r="E44" s="104">
        <f>IF(C44="","",C44-D44)</f>
        <v/>
      </c>
      <c r="F44" s="107" t="str"/>
      <c r="G44" s="107" t="str"/>
      <c r="H44" s="107" t="str"/>
      <c r="I44" s="107" t="str"/>
      <c r="J44" s="107" t="str"/>
      <c r="K44" s="107" t="str"/>
      <c r="L44" s="35" t="str"/>
      <c r="M44" s="34" t="str"/>
      <c r="N44" s="34" t="str"/>
    </row>
    <row r="45">
      <c r="A45" s="106" t="n">
        <v>46231</v>
      </c>
      <c r="B45" s="35" t="inlineStr">
        <is>
          <t>Tuesday</t>
        </is>
      </c>
      <c r="C45" s="104" t="str"/>
      <c r="D45" s="104" t="n">
        <v>63.95</v>
      </c>
      <c r="E45" s="104">
        <f>IF(C45="","",C45-D45)</f>
        <v/>
      </c>
      <c r="F45" s="107" t="str"/>
      <c r="G45" s="107" t="str"/>
      <c r="H45" s="107" t="str"/>
      <c r="I45" s="107" t="str"/>
      <c r="J45" s="107" t="str"/>
      <c r="K45" s="107" t="str"/>
      <c r="L45" s="35" t="str"/>
      <c r="M45" s="34" t="str"/>
      <c r="N45" s="34" t="str"/>
    </row>
    <row r="46">
      <c r="A46" s="106" t="n">
        <v>46232</v>
      </c>
      <c r="B46" s="35" t="inlineStr">
        <is>
          <t>Wednesday</t>
        </is>
      </c>
      <c r="C46" s="104" t="str"/>
      <c r="D46" s="104" t="n">
        <v>63.87</v>
      </c>
      <c r="E46" s="104">
        <f>IF(C46="","",C46-D46)</f>
        <v/>
      </c>
      <c r="F46" s="107" t="str"/>
      <c r="G46" s="107" t="str"/>
      <c r="H46" s="107" t="str"/>
      <c r="I46" s="107" t="str"/>
      <c r="J46" s="107" t="str"/>
      <c r="K46" s="107" t="str"/>
      <c r="L46" s="35" t="str"/>
      <c r="M46" s="34" t="str"/>
      <c r="N46" s="34" t="str"/>
    </row>
    <row r="47">
      <c r="A47" s="106" t="n">
        <v>46233</v>
      </c>
      <c r="B47" s="35" t="inlineStr">
        <is>
          <t>Thursday</t>
        </is>
      </c>
      <c r="C47" s="104" t="str"/>
      <c r="D47" s="104" t="n">
        <v>63.8</v>
      </c>
      <c r="E47" s="104">
        <f>IF(C47="","",C47-D47)</f>
        <v/>
      </c>
      <c r="F47" s="107" t="str"/>
      <c r="G47" s="107" t="str"/>
      <c r="H47" s="107" t="str"/>
      <c r="I47" s="107" t="str"/>
      <c r="J47" s="107" t="str"/>
      <c r="K47" s="107" t="str"/>
      <c r="L47" s="35" t="str"/>
      <c r="M47" s="34" t="str"/>
      <c r="N47" s="34" t="str"/>
    </row>
    <row r="48">
      <c r="A48" s="106" t="n">
        <v>46234</v>
      </c>
      <c r="B48" s="35" t="inlineStr">
        <is>
          <t>Friday</t>
        </is>
      </c>
      <c r="C48" s="104" t="str"/>
      <c r="D48" s="104" t="n">
        <v>63.73</v>
      </c>
      <c r="E48" s="104">
        <f>IF(C48="","",C48-D48)</f>
        <v/>
      </c>
      <c r="F48" s="107" t="str"/>
      <c r="G48" s="107" t="str"/>
      <c r="H48" s="107" t="str"/>
      <c r="I48" s="107" t="str"/>
      <c r="J48" s="107" t="str"/>
      <c r="K48" s="107" t="str"/>
      <c r="L48" s="35" t="str"/>
      <c r="M48" s="34" t="str"/>
      <c r="N48" s="34" t="str"/>
    </row>
    <row r="49">
      <c r="A49" s="106" t="n">
        <v>46235</v>
      </c>
      <c r="B49" s="35" t="inlineStr">
        <is>
          <t>Saturday</t>
        </is>
      </c>
      <c r="C49" s="104" t="str"/>
      <c r="D49" s="104" t="n">
        <v>63.65</v>
      </c>
      <c r="E49" s="104">
        <f>IF(C49="","",C49-D49)</f>
        <v/>
      </c>
      <c r="F49" s="107" t="str"/>
      <c r="G49" s="107" t="str"/>
      <c r="H49" s="107" t="str"/>
      <c r="I49" s="107" t="str"/>
      <c r="J49" s="107" t="str"/>
      <c r="K49" s="107" t="str"/>
      <c r="L49" s="35" t="str"/>
      <c r="M49" s="34" t="str"/>
      <c r="N49" s="34" t="str"/>
    </row>
    <row r="50">
      <c r="A50" s="106" t="n">
        <v>46236</v>
      </c>
      <c r="B50" s="35" t="inlineStr">
        <is>
          <t>Sunday</t>
        </is>
      </c>
      <c r="C50" s="104" t="str"/>
      <c r="D50" s="104" t="n">
        <v>63.58</v>
      </c>
      <c r="E50" s="104">
        <f>IF(C50="","",C50-D50)</f>
        <v/>
      </c>
      <c r="F50" s="107" t="str"/>
      <c r="G50" s="107" t="str"/>
      <c r="H50" s="107" t="str"/>
      <c r="I50" s="107" t="str"/>
      <c r="J50" s="107" t="str"/>
      <c r="K50" s="107" t="str"/>
      <c r="L50" s="35" t="str"/>
      <c r="M50" s="34" t="str"/>
      <c r="N50" s="34" t="str"/>
    </row>
    <row r="51">
      <c r="A51" s="106" t="n">
        <v>46237</v>
      </c>
      <c r="B51" s="35" t="inlineStr">
        <is>
          <t>Monday</t>
        </is>
      </c>
      <c r="C51" s="104" t="str"/>
      <c r="D51" s="104" t="n">
        <v>63.51</v>
      </c>
      <c r="E51" s="104">
        <f>IF(C51="","",C51-D51)</f>
        <v/>
      </c>
      <c r="F51" s="107" t="str"/>
      <c r="G51" s="107" t="str"/>
      <c r="H51" s="107" t="str"/>
      <c r="I51" s="107" t="str"/>
      <c r="J51" s="107" t="str"/>
      <c r="K51" s="107" t="str"/>
      <c r="L51" s="35" t="str"/>
      <c r="M51" s="34" t="str"/>
      <c r="N51" s="34" t="str"/>
    </row>
    <row r="52">
      <c r="A52" s="106" t="n">
        <v>46238</v>
      </c>
      <c r="B52" s="35" t="inlineStr">
        <is>
          <t>Tuesday</t>
        </is>
      </c>
      <c r="C52" s="104" t="str"/>
      <c r="D52" s="104" t="n">
        <v>63.44</v>
      </c>
      <c r="E52" s="104">
        <f>IF(C52="","",C52-D52)</f>
        <v/>
      </c>
      <c r="F52" s="107" t="str"/>
      <c r="G52" s="107" t="str"/>
      <c r="H52" s="107" t="str"/>
      <c r="I52" s="107" t="str"/>
      <c r="J52" s="107" t="str"/>
      <c r="K52" s="107" t="str"/>
      <c r="L52" s="35" t="str"/>
      <c r="M52" s="34" t="str"/>
      <c r="N52" s="34" t="str"/>
    </row>
    <row r="53">
      <c r="A53" s="106" t="n">
        <v>46239</v>
      </c>
      <c r="B53" s="35" t="inlineStr">
        <is>
          <t>Wednesday</t>
        </is>
      </c>
      <c r="C53" s="104" t="str"/>
      <c r="D53" s="104" t="n">
        <v>63.36</v>
      </c>
      <c r="E53" s="104">
        <f>IF(C53="","",C53-D53)</f>
        <v/>
      </c>
      <c r="F53" s="107" t="str"/>
      <c r="G53" s="107" t="str"/>
      <c r="H53" s="107" t="str"/>
      <c r="I53" s="107" t="str"/>
      <c r="J53" s="107" t="str"/>
      <c r="K53" s="107" t="str"/>
      <c r="L53" s="35" t="str"/>
      <c r="M53" s="34" t="str"/>
      <c r="N53" s="34" t="str"/>
    </row>
    <row r="54">
      <c r="A54" s="106" t="n">
        <v>46240</v>
      </c>
      <c r="B54" s="35" t="inlineStr">
        <is>
          <t>Thursday</t>
        </is>
      </c>
      <c r="C54" s="104" t="str"/>
      <c r="D54" s="104" t="n">
        <v>63.29</v>
      </c>
      <c r="E54" s="104">
        <f>IF(C54="","",C54-D54)</f>
        <v/>
      </c>
      <c r="F54" s="107" t="str"/>
      <c r="G54" s="107" t="str"/>
      <c r="H54" s="107" t="str"/>
      <c r="I54" s="107" t="str"/>
      <c r="J54" s="107" t="str"/>
      <c r="K54" s="107" t="str"/>
      <c r="L54" s="35" t="str"/>
      <c r="M54" s="34" t="str"/>
      <c r="N54" s="34" t="str"/>
    </row>
    <row r="55">
      <c r="A55" s="106" t="n">
        <v>46241</v>
      </c>
      <c r="B55" s="35" t="inlineStr">
        <is>
          <t>Friday</t>
        </is>
      </c>
      <c r="C55" s="104" t="str"/>
      <c r="D55" s="104" t="n">
        <v>63.22</v>
      </c>
      <c r="E55" s="104">
        <f>IF(C55="","",C55-D55)</f>
        <v/>
      </c>
      <c r="F55" s="107" t="str"/>
      <c r="G55" s="107" t="str"/>
      <c r="H55" s="107" t="str"/>
      <c r="I55" s="107" t="str"/>
      <c r="J55" s="107" t="str"/>
      <c r="K55" s="107" t="str"/>
      <c r="L55" s="35" t="str"/>
      <c r="M55" s="34" t="str"/>
      <c r="N55" s="34" t="str"/>
    </row>
    <row r="56">
      <c r="A56" s="106" t="n">
        <v>46242</v>
      </c>
      <c r="B56" s="35" t="inlineStr">
        <is>
          <t>Saturday</t>
        </is>
      </c>
      <c r="C56" s="104" t="str"/>
      <c r="D56" s="104" t="n">
        <v>63.15</v>
      </c>
      <c r="E56" s="104">
        <f>IF(C56="","",C56-D56)</f>
        <v/>
      </c>
      <c r="F56" s="107" t="str"/>
      <c r="G56" s="107" t="str"/>
      <c r="H56" s="107" t="str"/>
      <c r="I56" s="107" t="str"/>
      <c r="J56" s="107" t="str"/>
      <c r="K56" s="107" t="str"/>
      <c r="L56" s="35" t="str"/>
      <c r="M56" s="34" t="str"/>
      <c r="N56" s="34" t="str"/>
    </row>
    <row r="57">
      <c r="A57" s="106" t="n">
        <v>46243</v>
      </c>
      <c r="B57" s="35" t="inlineStr">
        <is>
          <t>Sunday</t>
        </is>
      </c>
      <c r="C57" s="104" t="str"/>
      <c r="D57" s="104" t="n">
        <v>63.07</v>
      </c>
      <c r="E57" s="104">
        <f>IF(C57="","",C57-D57)</f>
        <v/>
      </c>
      <c r="F57" s="107" t="str"/>
      <c r="G57" s="107" t="str"/>
      <c r="H57" s="107" t="str"/>
      <c r="I57" s="107" t="str"/>
      <c r="J57" s="107" t="str"/>
      <c r="K57" s="107" t="str"/>
      <c r="L57" s="35" t="str"/>
      <c r="M57" s="34" t="str"/>
      <c r="N57" s="34" t="str"/>
    </row>
    <row r="58">
      <c r="A58" s="106" t="n">
        <v>46244</v>
      </c>
      <c r="B58" s="35" t="inlineStr">
        <is>
          <t>Monday</t>
        </is>
      </c>
      <c r="C58" s="104" t="str"/>
      <c r="D58" s="104" t="n">
        <v>63</v>
      </c>
      <c r="E58" s="104">
        <f>IF(C58="","",C58-D58)</f>
        <v/>
      </c>
      <c r="F58" s="107" t="str"/>
      <c r="G58" s="107" t="str"/>
      <c r="H58" s="107" t="str"/>
      <c r="I58" s="107" t="str"/>
      <c r="J58" s="107" t="str"/>
      <c r="K58" s="107" t="str"/>
      <c r="L58" s="35" t="str"/>
      <c r="M58" s="34" t="str"/>
      <c r="N58" s="34" t="str"/>
    </row>
  </sheetData>
  <mergeCells count="2">
    <mergeCell ref="M1:N1"/>
    <mergeCell ref="A1:L1"/>
  </mergeCells>
  <conditionalFormatting sqref="E3:E58">
    <cfRule type="cellIs" priority="1" operator="greaterThan" dxfId="0">
      <formula>0</formula>
    </cfRule>
    <cfRule type="cellIs" priority="2" operator="lessThan" dxfId="1">
      <formula>0</formula>
    </cfRule>
  </conditionalFormatting>
  <dataValidations count="2">
    <dataValidation sqref="J3:J58" showDropDown="0" showInputMessage="0" showErrorMessage="0" allowBlank="0" type="list">
      <formula1>"Yes,Partial,No,Rest"</formula1>
    </dataValidation>
    <dataValidation sqref="M3:M58" showDropDown="0" showInputMessage="0" showErrorMessage="0" allowBlank="0" type="list">
      <formula1>"Yes,Mostly,No"</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18" customWidth="1" style="74" min="1" max="1"/>
    <col width="72" customWidth="1" style="74" min="2" max="2"/>
    <col width="12" customWidth="1" style="74" min="3" max="3"/>
    <col width="12" customWidth="1" style="74" min="4" max="4"/>
    <col width="12" customWidth="1" style="74" min="5" max="5"/>
    <col width="12" customWidth="1" style="74" min="6" max="6"/>
    <col width="12" customWidth="1" style="74" min="7" max="7"/>
    <col width="12" customWidth="1" style="74" min="8" max="8"/>
  </cols>
  <sheetData>
    <row r="1" ht="28" customHeight="1" s="74">
      <c r="A1" s="11" t="inlineStr">
        <is>
          <t>Rules, Adjustments + Practical Guidance</t>
        </is>
      </c>
      <c r="B1" s="1" t="n"/>
      <c r="C1" s="1" t="n"/>
      <c r="D1" s="1" t="n"/>
      <c r="E1" s="1" t="n"/>
      <c r="F1" s="1" t="n"/>
      <c r="G1" s="1" t="n"/>
      <c r="H1" s="1" t="n"/>
      <c r="I1" s="34" t="n"/>
      <c r="J1" s="34" t="n"/>
      <c r="K1" s="34" t="n"/>
    </row>
    <row r="2">
      <c r="A2" s="33" t="inlineStr">
        <is>
          <t>Fat-Loss Adjustment Rules</t>
        </is>
      </c>
      <c r="B2" s="1" t="n"/>
      <c r="C2" s="1" t="n"/>
      <c r="D2" s="1" t="n"/>
      <c r="E2" s="1" t="n"/>
      <c r="F2" s="1" t="n"/>
      <c r="G2" s="1" t="n"/>
      <c r="H2" s="1" t="n"/>
    </row>
    <row r="3">
      <c r="A3" s="42" t="inlineStr">
        <is>
          <t>Situation</t>
        </is>
      </c>
      <c r="B3" s="42" t="inlineStr">
        <is>
          <t>Action</t>
        </is>
      </c>
    </row>
    <row r="4">
      <c r="A4" s="35" t="inlineStr">
        <is>
          <t>Weight average drops 0.3–0.7 kg/week</t>
        </is>
      </c>
      <c r="B4" s="35" t="inlineStr">
        <is>
          <t>Do nothing. This is perfect.</t>
        </is>
      </c>
    </row>
    <row r="5">
      <c r="A5" s="35" t="inlineStr">
        <is>
          <t>No drop for 10–14 days</t>
        </is>
      </c>
      <c r="B5" s="35" t="inlineStr">
        <is>
          <t>First check hidden calories. Then reduce 100–150 kcal/day OR add 10 min cardio to 3 sessions.</t>
        </is>
      </c>
    </row>
    <row r="6">
      <c r="A6" s="35" t="inlineStr">
        <is>
          <t>Weight drops &gt;0.8 kg/week and strength crashes</t>
        </is>
      </c>
      <c r="B6" s="35" t="inlineStr">
        <is>
          <t>Add 100–150 kcal/day, mostly carbs around training.</t>
        </is>
      </c>
    </row>
    <row r="7">
      <c r="A7" s="35" t="inlineStr">
        <is>
          <t>Hungry at night</t>
        </is>
      </c>
      <c r="B7" s="35" t="inlineStr">
        <is>
          <t>Move more calories to dinner; use cottage cheese/Greek yogurt; add vegetables.</t>
        </is>
      </c>
    </row>
    <row r="8">
      <c r="A8" s="35" t="inlineStr">
        <is>
          <t>Low gym energy</t>
        </is>
      </c>
      <c r="B8" s="35" t="inlineStr">
        <is>
          <t>Put more carbs before/after training: banana, rice, potatoes, oats.</t>
        </is>
      </c>
    </row>
    <row r="9">
      <c r="A9" s="35" t="inlineStr">
        <is>
          <t>Missed workout</t>
        </is>
      </c>
      <c r="B9" s="35" t="inlineStr">
        <is>
          <t>Do not double up brutally. Continue the next scheduled day.</t>
        </is>
      </c>
    </row>
    <row r="11">
      <c r="A11" s="33" t="inlineStr">
        <is>
          <t>Boston / Dorm Practical Notes</t>
        </is>
      </c>
      <c r="B11" s="1" t="n"/>
      <c r="C11" s="1" t="n"/>
      <c r="D11" s="1" t="n"/>
      <c r="E11" s="1" t="n"/>
      <c r="F11" s="1" t="n"/>
      <c r="G11" s="1" t="n"/>
      <c r="H11" s="1" t="n"/>
    </row>
    <row r="12">
      <c r="A12" s="35" t="inlineStr">
        <is>
          <t>Target strategy</t>
        </is>
      </c>
      <c r="B12" s="35" t="inlineStr">
        <is>
          <t>Buy generic/store-brand staples when possible: oats, rice, eggs, frozen vegetables, Greek yogurt, chicken, tuna.</t>
        </is>
      </c>
    </row>
    <row r="13">
      <c r="A13" s="35" t="inlineStr">
        <is>
          <t>Campus days</t>
        </is>
      </c>
      <c r="B13" s="35" t="inlineStr">
        <is>
          <t>Pack one protein snack before leaving: shake, Greek yogurt, cottage cheese, tuna wrap, or protein bar.</t>
        </is>
      </c>
    </row>
    <row r="14">
      <c r="A14" s="35" t="inlineStr">
        <is>
          <t>Eating out</t>
        </is>
      </c>
      <c r="B14" s="35" t="inlineStr">
        <is>
          <t>Choose grilled protein + rice/potatoes + vegetables. Skip liquid calories and creamy sauces.</t>
        </is>
      </c>
    </row>
    <row r="15">
      <c r="A15" s="35" t="inlineStr">
        <is>
          <t>Water/sodium</t>
        </is>
      </c>
      <c r="B15" s="35" t="inlineStr">
        <is>
          <t>When training hard and walking in summer, do not fear salt. Big water-weight swings are normal.</t>
        </is>
      </c>
    </row>
    <row r="16">
      <c r="A16" s="35" t="inlineStr">
        <is>
          <t>Alcohol</t>
        </is>
      </c>
      <c r="B16" s="35" t="inlineStr">
        <is>
          <t>Best avoided during the 8 weeks if the goal is maximum progress.</t>
        </is>
      </c>
    </row>
    <row r="17">
      <c r="A17" s="35" t="inlineStr">
        <is>
          <t>Medical note</t>
        </is>
      </c>
      <c r="B17" s="35" t="inlineStr">
        <is>
          <t>This is a fitness plan, not medical advice. If you feel chest pain, severe dizziness, or unusual symptoms, stop and get help.</t>
        </is>
      </c>
    </row>
    <row r="19">
      <c r="A19" s="33" t="inlineStr">
        <is>
          <t>How to Use This Workbook</t>
        </is>
      </c>
      <c r="B19" s="1" t="n"/>
      <c r="C19" s="1" t="n"/>
      <c r="D19" s="1" t="n"/>
      <c r="E19" s="1" t="n"/>
      <c r="F19" s="1" t="n"/>
      <c r="G19" s="1" t="n"/>
      <c r="H19" s="1" t="n"/>
    </row>
    <row r="20">
      <c r="A20" s="35" t="inlineStr">
        <is>
          <t>1</t>
        </is>
      </c>
      <c r="B20" s="35" t="inlineStr">
        <is>
          <t>Follow the Gym Calendar daily and use Workout Details for exact exercises/sets/reps.</t>
        </is>
      </c>
    </row>
    <row r="21">
      <c r="A21" s="35" t="inlineStr">
        <is>
          <t>2</t>
        </is>
      </c>
      <c r="B21" s="35" t="inlineStr">
        <is>
          <t>Follow the Meal Calendar as the default. Swap meals only with similar calories/protein from Recipes Snacks.</t>
        </is>
      </c>
    </row>
    <row r="22">
      <c r="A22" s="35" t="inlineStr">
        <is>
          <t>3</t>
        </is>
      </c>
      <c r="B22" s="35" t="inlineStr">
        <is>
          <t>Shop from Grocery List once per week; prep on Sunday and Wednesday.</t>
        </is>
      </c>
    </row>
    <row r="23">
      <c r="A23" s="35" t="inlineStr">
        <is>
          <t>4</t>
        </is>
      </c>
      <c r="B23" s="35" t="inlineStr">
        <is>
          <t>Enter weight/calories/protein/steps/cardio in Progress Tracker. Use the chart to compare actual vs target.</t>
        </is>
      </c>
    </row>
    <row r="24">
      <c r="A24" s="35" t="inlineStr">
        <is>
          <t>5</t>
        </is>
      </c>
      <c r="B24" s="35" t="inlineStr">
        <is>
          <t>Use the adjustment rules only after looking at the 7-day weight trend, not after one random scale reading.</t>
        </is>
      </c>
    </row>
    <row r="26">
      <c r="A26" s="33" t="inlineStr">
        <is>
          <t>Optional Snack Rule</t>
        </is>
      </c>
      <c r="B26" s="1" t="n"/>
      <c r="C26" s="1" t="n"/>
      <c r="D26" s="1" t="n"/>
      <c r="E26" s="1" t="n"/>
      <c r="F26" s="1" t="n"/>
      <c r="G26" s="1" t="n"/>
      <c r="H26" s="1" t="n"/>
    </row>
    <row r="27">
      <c r="A27" s="35" t="inlineStr">
        <is>
          <t>When to add a second snack</t>
        </is>
      </c>
      <c r="B27" s="35" t="inlineStr">
        <is>
          <t>Only add it if you are genuinely hungry, training performance is dropping, or your day is below ~1,900 kcal.</t>
        </is>
      </c>
    </row>
    <row r="28">
      <c r="A28" s="35" t="inlineStr">
        <is>
          <t>Best second snacks</t>
        </is>
      </c>
      <c r="B28" s="35" t="inlineStr">
        <is>
          <t>Fruit, raw vegetables, Greek yogurt, or whey shake. Avoid random nuts/peanut butter unless measured.</t>
        </is>
      </c>
    </row>
    <row r="29">
      <c r="A29" s="35" t="inlineStr">
        <is>
          <t>When not to add it</t>
        </is>
      </c>
      <c r="B29" s="35" t="inlineStr">
        <is>
          <t>If the 7-day weight average is not moving, keep the second snack out.</t>
        </is>
      </c>
    </row>
    <row r="30">
      <c r="A30" s="35" t="inlineStr">
        <is>
          <t>Goal</t>
        </is>
      </c>
      <c r="B30" s="35" t="inlineStr">
        <is>
          <t>The default plan is intentionally 3 meals + 1 snack because it matches the 1,900–2,050 kcal target better.</t>
        </is>
      </c>
    </row>
  </sheetData>
  <mergeCells count="5">
    <mergeCell ref="A26:H26"/>
    <mergeCell ref="A2:H2"/>
    <mergeCell ref="A19:H19"/>
    <mergeCell ref="A11:H11"/>
    <mergeCell ref="A1:H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14" customWidth="1" style="74" min="1" max="1"/>
    <col width="24" customWidth="1" style="74" min="2" max="2"/>
    <col width="38" customWidth="1" style="74" min="3" max="3"/>
    <col width="38" customWidth="1" style="74" min="4" max="4"/>
    <col width="14" customWidth="1" style="74" min="5" max="5"/>
    <col width="14" customWidth="1" style="74" min="6" max="6"/>
    <col width="34" customWidth="1" style="74" min="7" max="7"/>
    <col width="4" customWidth="1" style="74" min="8" max="8"/>
  </cols>
  <sheetData>
    <row r="1" ht="28" customHeight="1" s="74">
      <c r="A1" s="110" t="inlineStr">
        <is>
          <t>Meal Timing Guide — 4:00 AM Wake-Up Schedule</t>
        </is>
      </c>
      <c r="B1" s="1" t="n"/>
      <c r="C1" s="1" t="n"/>
      <c r="D1" s="1" t="n"/>
      <c r="E1" s="1" t="n"/>
      <c r="F1" s="1" t="n"/>
      <c r="G1" s="1" t="n"/>
      <c r="H1" s="1" t="n"/>
    </row>
    <row r="2">
      <c r="A2" s="92" t="inlineStr">
        <is>
          <t>Default Training-Day Schedule</t>
        </is>
      </c>
      <c r="B2" s="92" t="str"/>
      <c r="C2" s="92" t="str"/>
      <c r="D2" s="92" t="str"/>
      <c r="E2" s="92" t="str"/>
      <c r="F2" s="92" t="str"/>
      <c r="G2" s="92" t="str"/>
      <c r="H2" s="92" t="str"/>
    </row>
    <row r="3">
      <c r="A3" s="83" t="inlineStr">
        <is>
          <t>Time</t>
        </is>
      </c>
      <c r="B3" s="83" t="inlineStr">
        <is>
          <t>Action</t>
        </is>
      </c>
      <c r="C3" s="83" t="inlineStr">
        <is>
          <t>What to eat/drink</t>
        </is>
      </c>
      <c r="D3" s="83" t="inlineStr">
        <is>
          <t>Why it matters</t>
        </is>
      </c>
      <c r="E3" s="83" t="inlineStr">
        <is>
          <t>Calories</t>
        </is>
      </c>
      <c r="F3" s="83" t="inlineStr">
        <is>
          <t>Protein target</t>
        </is>
      </c>
      <c r="G3" s="83" t="inlineStr">
        <is>
          <t>Notes</t>
        </is>
      </c>
      <c r="H3" s="83" t="str"/>
    </row>
    <row r="4">
      <c r="A4" s="34" t="inlineStr">
        <is>
          <t>4:00 AM</t>
        </is>
      </c>
      <c r="B4" s="34" t="inlineStr">
        <is>
          <t>Wake + start work block</t>
        </is>
      </c>
      <c r="C4" s="34" t="inlineStr">
        <is>
          <t>Water; coffee/tea is fine. No calories needed unless truly hungry.</t>
        </is>
      </c>
      <c r="D4" s="34" t="inlineStr">
        <is>
          <t>Keeps the early work block clean and avoids unnecessary calories.</t>
        </is>
      </c>
      <c r="E4" s="34" t="inlineStr">
        <is>
          <t>0–50</t>
        </is>
      </c>
      <c r="F4" s="34" t="inlineStr">
        <is>
          <t>0g</t>
        </is>
      </c>
      <c r="G4" s="34" t="inlineStr">
        <is>
          <t>If hungry, use the optional mini snack rule below.</t>
        </is>
      </c>
      <c r="H4" s="34" t="str"/>
    </row>
    <row r="5">
      <c r="A5" s="34" t="inlineStr">
        <is>
          <t>8:30 AM</t>
        </is>
      </c>
      <c r="B5" s="34" t="inlineStr">
        <is>
          <t>Meal 1 / Breakfast</t>
        </is>
      </c>
      <c r="C5" s="34" t="inlineStr">
        <is>
          <t>Planned breakfast from Meal Calendar.</t>
        </is>
      </c>
      <c r="D5" s="34" t="inlineStr">
        <is>
          <t>Pre-workout fuel after your 4:00–8:30 work block.</t>
        </is>
      </c>
      <c r="E5" s="34" t="inlineStr">
        <is>
          <t>455–510</t>
        </is>
      </c>
      <c r="F5" s="34" t="inlineStr">
        <is>
          <t>35–46g</t>
        </is>
      </c>
      <c r="G5" s="34" t="inlineStr">
        <is>
          <t>Try to finish 60–90 min before lifting.</t>
        </is>
      </c>
      <c r="H5" s="34" t="str"/>
    </row>
    <row r="6">
      <c r="A6" s="34" t="inlineStr">
        <is>
          <t>9:45–11:00 AM</t>
        </is>
      </c>
      <c r="B6" s="34" t="inlineStr">
        <is>
          <t>Gym</t>
        </is>
      </c>
      <c r="C6" s="34" t="inlineStr">
        <is>
          <t>Water. Optional black coffee before training.</t>
        </is>
      </c>
      <c r="D6" s="34" t="inlineStr">
        <is>
          <t>Best default window after work; preserves the rest of the day.</t>
        </is>
      </c>
      <c r="E6" s="34" t="inlineStr">
        <is>
          <t>0</t>
        </is>
      </c>
      <c r="F6" s="34" t="inlineStr">
        <is>
          <t>0g</t>
        </is>
      </c>
      <c r="G6" s="34" t="inlineStr">
        <is>
          <t>Leg/lower days may run until ~11:15.</t>
        </is>
      </c>
      <c r="H6" s="34" t="str"/>
    </row>
    <row r="7">
      <c r="A7" s="34" t="inlineStr">
        <is>
          <t>12:00 PM</t>
        </is>
      </c>
      <c r="B7" s="34" t="inlineStr">
        <is>
          <t>Meal 2 / Lunch</t>
        </is>
      </c>
      <c r="C7" s="34" t="inlineStr">
        <is>
          <t>Planned lunch from Meal Calendar.</t>
        </is>
      </c>
      <c r="D7" s="34" t="inlineStr">
        <is>
          <t>Post-workout protein + carbs for recovery.</t>
        </is>
      </c>
      <c r="E7" s="34" t="inlineStr">
        <is>
          <t>530–660</t>
        </is>
      </c>
      <c r="F7" s="34" t="inlineStr">
        <is>
          <t>42–57g</t>
        </is>
      </c>
      <c r="G7" s="34" t="inlineStr">
        <is>
          <t>Eat within 1–2 hours after lifting.</t>
        </is>
      </c>
      <c r="H7" s="34" t="str"/>
    </row>
    <row r="8">
      <c r="A8" s="34" t="inlineStr">
        <is>
          <t>3:30 PM</t>
        </is>
      </c>
      <c r="B8" s="34" t="inlineStr">
        <is>
          <t>Snack</t>
        </is>
      </c>
      <c r="C8" s="34" t="inlineStr">
        <is>
          <t>Planned snack from Meal Calendar.</t>
        </is>
      </c>
      <c r="D8" s="34" t="inlineStr">
        <is>
          <t>Controls hunger and keeps protein distributed.</t>
        </is>
      </c>
      <c r="E8" s="34" t="inlineStr">
        <is>
          <t>200–260</t>
        </is>
      </c>
      <c r="F8" s="34" t="inlineStr">
        <is>
          <t>20–28g</t>
        </is>
      </c>
      <c r="G8" s="34" t="inlineStr">
        <is>
          <t>Use this as a flexible meal if class/work schedule changes.</t>
        </is>
      </c>
      <c r="H8" s="34" t="str"/>
    </row>
    <row r="9">
      <c r="A9" s="34" t="inlineStr">
        <is>
          <t>7:00 PM</t>
        </is>
      </c>
      <c r="B9" s="34" t="inlineStr">
        <is>
          <t>Meal 3 / Dinner</t>
        </is>
      </c>
      <c r="C9" s="34" t="inlineStr">
        <is>
          <t>Planned dinner from Meal Calendar.</t>
        </is>
      </c>
      <c r="D9" s="34" t="inlineStr">
        <is>
          <t>Final full meal; enough protein without eating too late.</t>
        </is>
      </c>
      <c r="E9" s="34" t="inlineStr">
        <is>
          <t>560–660</t>
        </is>
      </c>
      <c r="F9" s="34" t="inlineStr">
        <is>
          <t>45–57g</t>
        </is>
      </c>
      <c r="G9" s="34" t="inlineStr">
        <is>
          <t>Keep oils/sauces measured.</t>
        </is>
      </c>
      <c r="H9" s="34" t="str"/>
    </row>
    <row r="10">
      <c r="A10" s="34" t="inlineStr">
        <is>
          <t>9:15–9:45 PM</t>
        </is>
      </c>
      <c r="B10" s="34" t="inlineStr">
        <is>
          <t>Sleep prep</t>
        </is>
      </c>
      <c r="C10" s="34" t="inlineStr">
        <is>
          <t>Tea/water. If protein is low: 100–150g Greek yogurt or cottage cheese.</t>
        </is>
      </c>
      <c r="D10" s="34" t="inlineStr">
        <is>
          <t>Protects recovery with 4:00 AM wake-up.</t>
        </is>
      </c>
      <c r="E10" s="34" t="inlineStr">
        <is>
          <t>0–120</t>
        </is>
      </c>
      <c r="F10" s="34" t="inlineStr">
        <is>
          <t>0–15g</t>
        </is>
      </c>
      <c r="G10" s="34" t="inlineStr">
        <is>
          <t>Only add food here if daily protein is low or hunger affects sleep.</t>
        </is>
      </c>
      <c r="H10" s="34" t="str"/>
    </row>
    <row r="11">
      <c r="A11" s="34" t="str"/>
      <c r="B11" s="34" t="str"/>
      <c r="C11" s="34" t="str"/>
      <c r="D11" s="34" t="str"/>
      <c r="E11" s="34" t="str"/>
      <c r="F11" s="34" t="str"/>
      <c r="G11" s="34" t="str"/>
      <c r="H11" s="34" t="str"/>
    </row>
    <row r="12">
      <c r="A12" s="92" t="inlineStr">
        <is>
          <t>Rest-Day Schedule</t>
        </is>
      </c>
      <c r="B12" s="92" t="str"/>
      <c r="C12" s="92" t="str"/>
      <c r="D12" s="92" t="str"/>
      <c r="E12" s="92" t="str"/>
      <c r="F12" s="92" t="str"/>
      <c r="G12" s="92" t="str"/>
      <c r="H12" s="92" t="str"/>
    </row>
    <row r="13">
      <c r="A13" s="83" t="inlineStr">
        <is>
          <t>Time</t>
        </is>
      </c>
      <c r="B13" s="83" t="inlineStr">
        <is>
          <t>Action</t>
        </is>
      </c>
      <c r="C13" s="83" t="inlineStr">
        <is>
          <t>What to eat/drink</t>
        </is>
      </c>
      <c r="D13" s="83" t="inlineStr">
        <is>
          <t>Why it matters</t>
        </is>
      </c>
      <c r="E13" s="83" t="inlineStr">
        <is>
          <t>Calories</t>
        </is>
      </c>
      <c r="F13" s="83" t="inlineStr">
        <is>
          <t>Protein target</t>
        </is>
      </c>
      <c r="G13" s="83" t="inlineStr">
        <is>
          <t>Notes</t>
        </is>
      </c>
      <c r="H13" s="83" t="str"/>
    </row>
    <row r="14">
      <c r="A14" s="34" t="inlineStr">
        <is>
          <t>4:00 AM</t>
        </is>
      </c>
      <c r="B14" s="34" t="inlineStr">
        <is>
          <t>Wake + work block</t>
        </is>
      </c>
      <c r="C14" s="34" t="inlineStr">
        <is>
          <t>Water; coffee/tea.</t>
        </is>
      </c>
      <c r="D14" s="34" t="inlineStr">
        <is>
          <t>Same routine, lower decision fatigue.</t>
        </is>
      </c>
      <c r="E14" s="34" t="inlineStr">
        <is>
          <t>0–50</t>
        </is>
      </c>
      <c r="F14" s="34" t="inlineStr">
        <is>
          <t>0g</t>
        </is>
      </c>
      <c r="G14" s="34" t="str"/>
      <c r="H14" s="34" t="str"/>
    </row>
    <row r="15">
      <c r="A15" s="34" t="inlineStr">
        <is>
          <t>8:30 AM</t>
        </is>
      </c>
      <c r="B15" s="34" t="inlineStr">
        <is>
          <t>Meal 1 / Breakfast</t>
        </is>
      </c>
      <c r="C15" s="34" t="inlineStr">
        <is>
          <t>Breakfast from Meal Calendar.</t>
        </is>
      </c>
      <c r="D15" s="34" t="inlineStr">
        <is>
          <t>High-protein start without needing workout carbs.</t>
        </is>
      </c>
      <c r="E15" s="34" t="inlineStr">
        <is>
          <t>455–500</t>
        </is>
      </c>
      <c r="F15" s="34" t="inlineStr">
        <is>
          <t>35–46g</t>
        </is>
      </c>
      <c r="G15" s="34" t="str"/>
      <c r="H15" s="34" t="str"/>
    </row>
    <row r="16">
      <c r="A16" s="34" t="inlineStr">
        <is>
          <t>12:30 PM</t>
        </is>
      </c>
      <c r="B16" s="34" t="inlineStr">
        <is>
          <t>Meal 2 / Lunch</t>
        </is>
      </c>
      <c r="C16" s="34" t="inlineStr">
        <is>
          <t>Lunch from Meal Calendar.</t>
        </is>
      </c>
      <c r="D16" s="34" t="inlineStr">
        <is>
          <t>Slightly later because no post-workout window.</t>
        </is>
      </c>
      <c r="E16" s="34" t="inlineStr">
        <is>
          <t>530–630</t>
        </is>
      </c>
      <c r="F16" s="34" t="inlineStr">
        <is>
          <t>42–57g</t>
        </is>
      </c>
      <c r="G16" s="34" t="str"/>
      <c r="H16" s="34" t="str"/>
    </row>
    <row r="17">
      <c r="A17" s="34" t="inlineStr">
        <is>
          <t>3:30 PM</t>
        </is>
      </c>
      <c r="B17" s="34" t="inlineStr">
        <is>
          <t>Snack</t>
        </is>
      </c>
      <c r="C17" s="34" t="inlineStr">
        <is>
          <t>Snack from Meal Calendar.</t>
        </is>
      </c>
      <c r="D17" s="34" t="inlineStr">
        <is>
          <t>Keeps hunger controlled.</t>
        </is>
      </c>
      <c r="E17" s="34" t="inlineStr">
        <is>
          <t>200–260</t>
        </is>
      </c>
      <c r="F17" s="34" t="inlineStr">
        <is>
          <t>20–28g</t>
        </is>
      </c>
      <c r="G17" s="34" t="str"/>
      <c r="H17" s="34" t="str"/>
    </row>
    <row r="18">
      <c r="A18" s="34" t="inlineStr">
        <is>
          <t>7:00 PM</t>
        </is>
      </c>
      <c r="B18" s="34" t="inlineStr">
        <is>
          <t>Meal 3 / Dinner</t>
        </is>
      </c>
      <c r="C18" s="34" t="inlineStr">
        <is>
          <t>Dinner from Meal Calendar.</t>
        </is>
      </c>
      <c r="D18" s="34" t="inlineStr">
        <is>
          <t>Consistent evening routine.</t>
        </is>
      </c>
      <c r="E18" s="34" t="inlineStr">
        <is>
          <t>560–660</t>
        </is>
      </c>
      <c r="F18" s="34" t="inlineStr">
        <is>
          <t>45–57g</t>
        </is>
      </c>
      <c r="G18" s="34" t="inlineStr">
        <is>
          <t>Optional walk after dinner.</t>
        </is>
      </c>
      <c r="H18" s="34" t="str"/>
    </row>
    <row r="19">
      <c r="A19" s="34" t="str"/>
      <c r="B19" s="34" t="str"/>
      <c r="C19" s="34" t="str"/>
      <c r="D19" s="34" t="str"/>
      <c r="E19" s="34" t="str"/>
      <c r="F19" s="34" t="str"/>
      <c r="G19" s="34" t="str"/>
      <c r="H19" s="34" t="str"/>
    </row>
    <row r="20">
      <c r="A20" s="92" t="inlineStr">
        <is>
          <t>Timing Rules If Your Gym Time Changes</t>
        </is>
      </c>
      <c r="B20" s="92" t="str"/>
      <c r="C20" s="92" t="str"/>
      <c r="D20" s="92" t="str"/>
      <c r="E20" s="92" t="str"/>
      <c r="F20" s="92" t="str"/>
      <c r="G20" s="92" t="str"/>
      <c r="H20" s="92" t="str"/>
    </row>
    <row r="21">
      <c r="A21" s="34" t="inlineStr">
        <is>
          <t>Rule</t>
        </is>
      </c>
      <c r="B21" s="34" t="inlineStr">
        <is>
          <t>How to apply it</t>
        </is>
      </c>
      <c r="C21" s="34" t="str"/>
      <c r="D21" s="34" t="str"/>
      <c r="E21" s="34" t="str"/>
      <c r="F21" s="34" t="str"/>
      <c r="G21" s="34" t="str"/>
      <c r="H21" s="34" t="str"/>
    </row>
    <row r="22">
      <c r="A22" s="34" t="inlineStr">
        <is>
          <t>Pre-workout meal</t>
        </is>
      </c>
      <c r="B22" s="34" t="inlineStr">
        <is>
          <t>Eat a protein + carb meal 60–120 minutes before lifting. Your 8:30 AM breakfast is designed for this.</t>
        </is>
      </c>
      <c r="C22" s="34" t="str"/>
      <c r="D22" s="34" t="str"/>
      <c r="E22" s="34" t="str"/>
      <c r="F22" s="34" t="str"/>
      <c r="G22" s="34" t="str"/>
      <c r="H22" s="34" t="str"/>
    </row>
    <row r="23">
      <c r="A23" s="34" t="inlineStr">
        <is>
          <t>Post-workout meal</t>
        </is>
      </c>
      <c r="B23" s="34" t="inlineStr">
        <is>
          <t>Eat a protein-rich meal within 1–2 hours after lifting. Your lunch is designed for this.</t>
        </is>
      </c>
      <c r="C23" s="34" t="str"/>
      <c r="D23" s="34" t="str"/>
      <c r="E23" s="34" t="str"/>
      <c r="F23" s="34" t="str"/>
      <c r="G23" s="34" t="str"/>
      <c r="H23" s="34" t="str"/>
    </row>
    <row r="24">
      <c r="A24" s="34" t="inlineStr">
        <is>
          <t>If training very early</t>
        </is>
      </c>
      <c r="B24" s="34" t="inlineStr">
        <is>
          <t>Have whey + banana 30–45 minutes before training, then move breakfast to post-workout.</t>
        </is>
      </c>
      <c r="C24" s="34" t="str"/>
      <c r="D24" s="34" t="str"/>
      <c r="E24" s="34" t="str"/>
      <c r="F24" s="34" t="str"/>
      <c r="G24" s="34" t="str"/>
      <c r="H24" s="34" t="str"/>
    </row>
    <row r="25">
      <c r="A25" s="34" t="inlineStr">
        <is>
          <t>If training afternoon/evening</t>
        </is>
      </c>
      <c r="B25" s="34" t="inlineStr">
        <is>
          <t>Keep breakfast 8:30, lunch 12:30, snack 60–90 min before gym, dinner after gym.</t>
        </is>
      </c>
      <c r="C25" s="34" t="str"/>
      <c r="D25" s="34" t="str"/>
      <c r="E25" s="34" t="str"/>
      <c r="F25" s="34" t="str"/>
      <c r="G25" s="34" t="str"/>
      <c r="H25" s="34" t="str"/>
    </row>
    <row r="26">
      <c r="A26" s="34" t="inlineStr">
        <is>
          <t>If not hungry at 4 AM</t>
        </is>
      </c>
      <c r="B26" s="34" t="inlineStr">
        <is>
          <t>Do not force food. Water/coffee is enough until 8:30 breakfast.</t>
        </is>
      </c>
      <c r="C26" s="34" t="str"/>
      <c r="D26" s="34" t="str"/>
      <c r="E26" s="34" t="str"/>
      <c r="F26" s="34" t="str"/>
      <c r="G26" s="34" t="str"/>
      <c r="H26" s="34" t="str"/>
    </row>
    <row r="27">
      <c r="A27" s="34" t="inlineStr">
        <is>
          <t>If very hungry at 4 AM</t>
        </is>
      </c>
      <c r="B27" s="34" t="inlineStr">
        <is>
          <t>Use a mini snack: 150–200g Greek yogurt OR 1 banana OR 1/2 scoop whey. Keep it under ~150 kcal.</t>
        </is>
      </c>
      <c r="C27" s="34" t="str"/>
      <c r="D27" s="34" t="str"/>
      <c r="E27" s="34" t="str"/>
      <c r="F27" s="34" t="str"/>
      <c r="G27" s="34" t="str"/>
      <c r="H27" s="34" t="str"/>
    </row>
    <row r="28">
      <c r="A28" s="34" t="inlineStr">
        <is>
          <t>Protein distribution</t>
        </is>
      </c>
      <c r="B28" s="34" t="inlineStr">
        <is>
          <t>Aim for 35–50g protein in each main meal and 20–30g in the snack.</t>
        </is>
      </c>
      <c r="C28" s="34" t="str"/>
      <c r="D28" s="34" t="str"/>
      <c r="E28" s="34" t="str"/>
      <c r="F28" s="34" t="str"/>
      <c r="G28" s="34" t="str"/>
      <c r="H28" s="34" t="str"/>
    </row>
    <row r="29">
      <c r="A29" s="34" t="inlineStr">
        <is>
          <t>Cut-off before sleep</t>
        </is>
      </c>
      <c r="B29" s="34" t="inlineStr">
        <is>
          <t>Avoid large meals in the final 2 hours before bed. A small protein snack is okay if needed.</t>
        </is>
      </c>
      <c r="C29" s="34" t="str"/>
      <c r="D29" s="34" t="str"/>
      <c r="E29" s="34" t="str"/>
      <c r="F29" s="34" t="str"/>
      <c r="G29" s="34" t="str"/>
      <c r="H29" s="34" t="str"/>
    </row>
    <row r="30">
      <c r="A30" s="34" t="str"/>
      <c r="B30" s="34" t="str"/>
      <c r="C30" s="34" t="str"/>
      <c r="D30" s="34" t="str"/>
      <c r="E30" s="34" t="str"/>
      <c r="F30" s="34" t="str"/>
      <c r="G30" s="34" t="str"/>
      <c r="H30" s="34" t="str"/>
    </row>
    <row r="31">
      <c r="A31" s="92" t="inlineStr">
        <is>
          <t>Best Outcome Notes</t>
        </is>
      </c>
      <c r="B31" s="92" t="str"/>
      <c r="C31" s="92" t="str"/>
      <c r="D31" s="92" t="str"/>
      <c r="E31" s="92" t="str"/>
      <c r="F31" s="92" t="str"/>
      <c r="G31" s="92" t="str"/>
      <c r="H31" s="92" t="str"/>
    </row>
    <row r="32">
      <c r="A32" s="34" t="inlineStr">
        <is>
          <t>1</t>
        </is>
      </c>
      <c r="B32" s="34" t="inlineStr">
        <is>
          <t>Meal timing helps, but total calories + protein decide most of the fat loss result.</t>
        </is>
      </c>
      <c r="C32" s="34" t="str"/>
      <c r="D32" s="34" t="str"/>
      <c r="E32" s="34" t="str"/>
      <c r="F32" s="34" t="str"/>
      <c r="G32" s="34" t="str"/>
      <c r="H32" s="34" t="str"/>
    </row>
    <row r="33">
      <c r="A33" s="34" t="inlineStr">
        <is>
          <t>2</t>
        </is>
      </c>
      <c r="B33" s="34" t="inlineStr">
        <is>
          <t>For your goal, the most important daily hits are: 1,900–2,050 kcal, 150–170g+ protein, 8k–10k steps, and the scheduled workout.</t>
        </is>
      </c>
      <c r="C33" s="34" t="str"/>
      <c r="D33" s="34" t="str"/>
      <c r="E33" s="34" t="str"/>
      <c r="F33" s="34" t="str"/>
      <c r="G33" s="34" t="str"/>
      <c r="H33" s="34" t="str"/>
    </row>
    <row r="34">
      <c r="A34" s="34" t="inlineStr">
        <is>
          <t>3</t>
        </is>
      </c>
      <c r="B34" s="34" t="inlineStr">
        <is>
          <t>Because you wake at 4 AM, protect sleep. With a 4 AM wake-up, aim to be asleep around 9:00–9:30 PM when possible.</t>
        </is>
      </c>
      <c r="C34" s="34" t="str"/>
      <c r="D34" s="34" t="str"/>
      <c r="E34" s="34" t="str"/>
      <c r="F34" s="34" t="str"/>
      <c r="G34" s="34" t="str"/>
      <c r="H34" s="34" t="str"/>
    </row>
    <row r="35">
      <c r="A35" s="34" t="inlineStr">
        <is>
          <t>4</t>
        </is>
      </c>
      <c r="B35" s="34" t="inlineStr">
        <is>
          <t>If weight is not dropping after 10–14 days, first check oils, peanut butter, sauces, bread/wraps, rice/pasta portions, and snacks.</t>
        </is>
      </c>
      <c r="C35" s="34" t="str"/>
      <c r="D35" s="34" t="str"/>
      <c r="E35" s="34" t="str"/>
      <c r="F35" s="34" t="str"/>
      <c r="G35" s="34" t="str"/>
      <c r="H35" s="34" t="str"/>
    </row>
    <row r="36">
      <c r="A36" s="34" t="n"/>
      <c r="B36" s="34" t="n"/>
      <c r="C36" s="34" t="n"/>
      <c r="D36" s="34" t="n"/>
      <c r="E36" s="34" t="n"/>
      <c r="F36" s="34" t="n"/>
      <c r="G36" s="34" t="n"/>
      <c r="H36" s="34" t="n"/>
    </row>
    <row r="37">
      <c r="A37" s="34" t="n"/>
      <c r="B37" s="34" t="n"/>
      <c r="C37" s="34" t="n"/>
      <c r="D37" s="34" t="n"/>
      <c r="E37" s="34" t="n"/>
      <c r="F37" s="34" t="n"/>
      <c r="G37" s="34" t="n"/>
      <c r="H37" s="34" t="n"/>
    </row>
    <row r="38">
      <c r="A38" s="34" t="n"/>
      <c r="B38" s="34" t="n"/>
      <c r="C38" s="34" t="n"/>
      <c r="D38" s="34" t="n"/>
      <c r="E38" s="34" t="n"/>
      <c r="F38" s="34" t="n"/>
      <c r="G38" s="34" t="n"/>
      <c r="H38" s="34" t="n"/>
    </row>
    <row r="39">
      <c r="A39" s="34" t="n"/>
      <c r="B39" s="34" t="n"/>
      <c r="C39" s="34" t="n"/>
      <c r="D39" s="34" t="n"/>
      <c r="E39" s="34" t="n"/>
      <c r="F39" s="34" t="n"/>
      <c r="G39" s="34" t="n"/>
      <c r="H39" s="34" t="n"/>
    </row>
    <row r="40">
      <c r="A40" s="34" t="n"/>
      <c r="B40" s="34" t="n"/>
      <c r="C40" s="34" t="n"/>
      <c r="D40" s="34" t="n"/>
      <c r="E40" s="34" t="n"/>
      <c r="F40" s="34" t="n"/>
      <c r="G40" s="34" t="n"/>
      <c r="H40" s="34" t="n"/>
    </row>
    <row r="41">
      <c r="A41" s="34" t="n"/>
      <c r="B41" s="34" t="n"/>
      <c r="C41" s="34" t="n"/>
      <c r="D41" s="34" t="n"/>
      <c r="E41" s="34" t="n"/>
      <c r="F41" s="34" t="n"/>
      <c r="G41" s="34" t="n"/>
      <c r="H41" s="34" t="n"/>
    </row>
    <row r="42">
      <c r="A42" s="34" t="n"/>
      <c r="B42" s="34" t="n"/>
      <c r="C42" s="34" t="n"/>
      <c r="D42" s="34" t="n"/>
      <c r="E42" s="34" t="n"/>
      <c r="F42" s="34" t="n"/>
      <c r="G42" s="34" t="n"/>
      <c r="H42" s="34" t="n"/>
    </row>
    <row r="43">
      <c r="A43" s="34" t="n"/>
      <c r="B43" s="34" t="n"/>
      <c r="C43" s="34" t="n"/>
      <c r="D43" s="34" t="n"/>
      <c r="E43" s="34" t="n"/>
      <c r="F43" s="34" t="n"/>
      <c r="G43" s="34" t="n"/>
      <c r="H43" s="34" t="n"/>
    </row>
    <row r="44">
      <c r="A44" s="34" t="n"/>
      <c r="B44" s="34" t="n"/>
      <c r="C44" s="34" t="n"/>
      <c r="D44" s="34" t="n"/>
      <c r="E44" s="34" t="n"/>
      <c r="F44" s="34" t="n"/>
      <c r="G44" s="34" t="n"/>
      <c r="H44" s="34" t="n"/>
    </row>
    <row r="45">
      <c r="A45" s="34" t="n"/>
      <c r="B45" s="34" t="n"/>
      <c r="C45" s="34" t="n"/>
      <c r="D45" s="34" t="n"/>
      <c r="E45" s="34" t="n"/>
      <c r="F45" s="34" t="n"/>
      <c r="G45" s="34" t="n"/>
      <c r="H45" s="34" t="n"/>
    </row>
  </sheetData>
  <mergeCells count="1">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2026-06-15T13:39:39Z</dcterms:created>
  <dcterms:modified xsi:type="dcterms:W3CDTF">2026-06-22T12:52:16Z</dcterms:modified>
</cp:coreProperties>
</file>